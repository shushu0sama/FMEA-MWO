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8800" windowHeight="12210"/>
  </bookViews>
  <sheets>
    <sheet name="Data Rights Notice" sheetId="9" r:id="rId1"/>
    <sheet name="0400 SCADA"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'0400 SCADA'!$A$5:$AX$55</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'0400 SCADA'!$B$5:$W$55</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O4" i="6" l="1"/>
  <c r="O3" i="6"/>
  <c r="O2" i="6"/>
  <c r="A1" i="8" a="1"/>
  <c r="C1" i="8" s="1"/>
  <c r="A1" i="8"/>
  <c r="B1" i="8"/>
  <c r="D1" i="8"/>
  <c r="E1" i="8"/>
  <c r="L1" i="8"/>
  <c r="M1" i="8"/>
  <c r="N1" i="8"/>
  <c r="P1" i="8"/>
  <c r="E2" i="8"/>
  <c r="G2" i="8"/>
  <c r="H2" i="8"/>
  <c r="I2" i="8"/>
  <c r="P2" i="8"/>
  <c r="Q2" i="8"/>
  <c r="B3" i="8"/>
  <c r="C3" i="8"/>
  <c r="J3" i="8"/>
  <c r="K3" i="8"/>
  <c r="L3" i="8"/>
  <c r="N3" i="8"/>
  <c r="C4" i="8"/>
  <c r="E4" i="8"/>
  <c r="F4" i="8"/>
  <c r="G4" i="8"/>
  <c r="N4" i="8"/>
  <c r="O4" i="8"/>
  <c r="Q4" i="8"/>
  <c r="A5" i="8"/>
  <c r="F5" i="8"/>
  <c r="H5" i="8"/>
  <c r="I5" i="8"/>
  <c r="J5" i="8"/>
  <c r="L5" i="8"/>
  <c r="Q5" i="8"/>
  <c r="A6" i="8"/>
  <c r="C6" i="8"/>
  <c r="D6" i="8"/>
  <c r="E6" i="8"/>
  <c r="K6" i="8"/>
  <c r="L6" i="8"/>
  <c r="M6" i="8"/>
  <c r="O6" i="8"/>
  <c r="P6" i="8"/>
  <c r="D7" i="8"/>
  <c r="F7" i="8"/>
  <c r="G7" i="8"/>
  <c r="H7" i="8"/>
  <c r="J7" i="8"/>
  <c r="O7" i="8"/>
  <c r="P7" i="8"/>
  <c r="A8" i="8"/>
  <c r="B8" i="8"/>
  <c r="C8" i="8"/>
  <c r="I8" i="8"/>
  <c r="J8" i="8"/>
  <c r="K8" i="8"/>
  <c r="M8" i="8"/>
  <c r="N8" i="8"/>
  <c r="B9" i="8"/>
  <c r="D9" i="8"/>
  <c r="E9" i="8"/>
  <c r="F9" i="8"/>
  <c r="H9" i="8"/>
  <c r="M9" i="8"/>
  <c r="N9" i="8"/>
  <c r="P9" i="8"/>
  <c r="Q9" i="8"/>
  <c r="A10" i="8"/>
  <c r="G10" i="8"/>
  <c r="H10" i="8"/>
  <c r="I10" i="8"/>
  <c r="K10" i="8"/>
  <c r="L10" i="8"/>
  <c r="Q10" i="8"/>
  <c r="B11" i="8"/>
  <c r="C11" i="8"/>
  <c r="D11" i="8"/>
  <c r="F11" i="8"/>
  <c r="K11" i="8"/>
  <c r="L11" i="8"/>
  <c r="N11" i="8"/>
  <c r="O11" i="8"/>
  <c r="P11" i="8"/>
  <c r="E12" i="8"/>
  <c r="F12" i="8"/>
  <c r="G12" i="8"/>
  <c r="I12" i="8"/>
  <c r="J12" i="8"/>
  <c r="O12" i="8"/>
  <c r="Q12" i="8"/>
  <c r="A13" i="8"/>
  <c r="B13" i="8"/>
  <c r="D13" i="8"/>
  <c r="I13" i="8"/>
  <c r="J13" i="8"/>
  <c r="L13" i="8"/>
  <c r="M13" i="8"/>
  <c r="N13" i="8"/>
  <c r="C14" i="8"/>
  <c r="D14" i="8"/>
  <c r="E14" i="8"/>
  <c r="G14" i="8"/>
  <c r="H14" i="8"/>
  <c r="M14" i="8"/>
  <c r="O14" i="8"/>
  <c r="P14" i="8"/>
  <c r="Q14" i="8"/>
  <c r="B15" i="8"/>
  <c r="G15" i="8"/>
  <c r="H15" i="8"/>
  <c r="J15" i="8"/>
  <c r="K15" i="8"/>
  <c r="L15" i="8"/>
  <c r="A16" i="8"/>
  <c r="B16" i="8"/>
  <c r="C16" i="8"/>
  <c r="E16" i="8"/>
  <c r="F16" i="8"/>
  <c r="K16" i="8"/>
  <c r="M16" i="8"/>
  <c r="N16" i="8"/>
  <c r="O16" i="8"/>
  <c r="Q16" i="8"/>
  <c r="E17" i="8"/>
  <c r="F17" i="8"/>
  <c r="H17" i="8"/>
  <c r="I17" i="8"/>
  <c r="J17" i="8"/>
  <c r="P17" i="8"/>
  <c r="Q17" i="8"/>
  <c r="A18" i="8"/>
  <c r="C18" i="8"/>
  <c r="D18" i="8"/>
  <c r="I18" i="8"/>
  <c r="K18" i="8"/>
  <c r="L18" i="8"/>
  <c r="M18" i="8"/>
  <c r="O18" i="8"/>
  <c r="C19" i="8"/>
  <c r="D19" i="8"/>
  <c r="F19" i="8"/>
  <c r="G19" i="8"/>
  <c r="H19" i="8"/>
  <c r="N19" i="8"/>
  <c r="O19" i="8"/>
  <c r="P19" i="8"/>
  <c r="A20" i="8"/>
  <c r="B20" i="8"/>
  <c r="G20" i="8"/>
  <c r="I20" i="8"/>
  <c r="J20" i="8"/>
  <c r="K20" i="8"/>
  <c r="M20" i="8"/>
  <c r="A21" i="8"/>
  <c r="B21" i="8"/>
  <c r="C21" i="8"/>
  <c r="D21" i="8"/>
  <c r="E21" i="8"/>
  <c r="I21" i="8"/>
  <c r="J21" i="8"/>
  <c r="K21" i="8"/>
  <c r="L21" i="8"/>
  <c r="M21" i="8"/>
  <c r="Q21" i="8"/>
  <c r="A22" i="8"/>
  <c r="B22" i="8"/>
  <c r="C22" i="8"/>
  <c r="D22" i="8"/>
  <c r="H22" i="8"/>
  <c r="I22" i="8"/>
  <c r="J22" i="8"/>
  <c r="K22" i="8"/>
  <c r="L22" i="8"/>
  <c r="P22" i="8"/>
  <c r="Q22" i="8"/>
  <c r="A23" i="8"/>
  <c r="B23" i="8"/>
  <c r="C23" i="8"/>
  <c r="G23" i="8"/>
  <c r="H23" i="8"/>
  <c r="I23" i="8"/>
  <c r="J23" i="8"/>
  <c r="K23" i="8"/>
  <c r="O23" i="8"/>
  <c r="P23" i="8"/>
  <c r="Q23" i="8"/>
  <c r="A24" i="8"/>
  <c r="B24" i="8"/>
  <c r="F24" i="8"/>
  <c r="G24" i="8"/>
  <c r="H24" i="8"/>
  <c r="I24" i="8"/>
  <c r="J24" i="8"/>
  <c r="N24" i="8"/>
  <c r="O24" i="8"/>
  <c r="P24" i="8"/>
  <c r="Q24" i="8"/>
  <c r="A25" i="8"/>
  <c r="E25" i="8"/>
  <c r="F25" i="8"/>
  <c r="G25" i="8"/>
  <c r="H25" i="8"/>
  <c r="I25" i="8"/>
  <c r="M25" i="8"/>
  <c r="N25" i="8"/>
  <c r="O25" i="8"/>
  <c r="P25" i="8"/>
  <c r="Q25" i="8"/>
  <c r="D26" i="8"/>
  <c r="E26" i="8"/>
  <c r="F26" i="8"/>
  <c r="G26" i="8"/>
  <c r="H26" i="8"/>
  <c r="L26" i="8"/>
  <c r="M26" i="8"/>
  <c r="N26" i="8"/>
  <c r="O26" i="8"/>
  <c r="P26" i="8"/>
  <c r="C27" i="8"/>
  <c r="D27" i="8"/>
  <c r="E27" i="8"/>
  <c r="F27" i="8"/>
  <c r="G27" i="8"/>
  <c r="K27" i="8"/>
  <c r="L27" i="8"/>
  <c r="M27" i="8"/>
  <c r="N27" i="8"/>
  <c r="O27" i="8"/>
  <c r="M4" i="8" l="1"/>
  <c r="B4" i="8"/>
  <c r="H3" i="8"/>
  <c r="O2" i="8"/>
  <c r="D2" i="8"/>
  <c r="J1" i="8"/>
  <c r="J27" i="8"/>
  <c r="K26" i="8"/>
  <c r="L25" i="8"/>
  <c r="M24" i="8"/>
  <c r="N23" i="8"/>
  <c r="O22" i="8"/>
  <c r="P21" i="8"/>
  <c r="Q20" i="8"/>
  <c r="L19" i="8"/>
  <c r="H18" i="8"/>
  <c r="D17" i="8"/>
  <c r="P15" i="8"/>
  <c r="L14" i="8"/>
  <c r="A14" i="8"/>
  <c r="H13" i="8"/>
  <c r="N12" i="8"/>
  <c r="C12" i="8"/>
  <c r="P10" i="8"/>
  <c r="E10" i="8"/>
  <c r="L9" i="8"/>
  <c r="A9" i="8"/>
  <c r="G8" i="8"/>
  <c r="N7" i="8"/>
  <c r="C7" i="8"/>
  <c r="I6" i="8"/>
  <c r="P5" i="8"/>
  <c r="E5" i="8"/>
  <c r="K4" i="8"/>
  <c r="A4" i="8"/>
  <c r="G3" i="8"/>
  <c r="M2" i="8"/>
  <c r="I1" i="8"/>
  <c r="Q27" i="8"/>
  <c r="I27" i="8"/>
  <c r="A27" i="8"/>
  <c r="J26" i="8"/>
  <c r="B26" i="8"/>
  <c r="K25" i="8"/>
  <c r="C25" i="8"/>
  <c r="L24" i="8"/>
  <c r="D24" i="8"/>
  <c r="M23" i="8"/>
  <c r="E23" i="8"/>
  <c r="N22" i="8"/>
  <c r="F22" i="8"/>
  <c r="O21" i="8"/>
  <c r="G21" i="8"/>
  <c r="O20" i="8"/>
  <c r="E20" i="8"/>
  <c r="K19" i="8"/>
  <c r="Q18" i="8"/>
  <c r="G18" i="8"/>
  <c r="M17" i="8"/>
  <c r="B17" i="8"/>
  <c r="I16" i="8"/>
  <c r="O15" i="8"/>
  <c r="D15" i="8"/>
  <c r="K14" i="8"/>
  <c r="Q13" i="8"/>
  <c r="F13" i="8"/>
  <c r="M12" i="8"/>
  <c r="B12" i="8"/>
  <c r="H11" i="8"/>
  <c r="O10" i="8"/>
  <c r="D10" i="8"/>
  <c r="J9" i="8"/>
  <c r="Q8" i="8"/>
  <c r="F8" i="8"/>
  <c r="L7" i="8"/>
  <c r="B7" i="8"/>
  <c r="H6" i="8"/>
  <c r="N5" i="8"/>
  <c r="D5" i="8"/>
  <c r="J4" i="8"/>
  <c r="P3" i="8"/>
  <c r="F3" i="8"/>
  <c r="L2" i="8"/>
  <c r="A2" i="8"/>
  <c r="H1" i="8"/>
  <c r="B27" i="8"/>
  <c r="C26" i="8"/>
  <c r="D25" i="8"/>
  <c r="E24" i="8"/>
  <c r="F23" i="8"/>
  <c r="G22" i="8"/>
  <c r="H21" i="8"/>
  <c r="F20" i="8"/>
  <c r="B19" i="8"/>
  <c r="N17" i="8"/>
  <c r="J16" i="8"/>
  <c r="F15" i="8"/>
  <c r="J11" i="8"/>
  <c r="C2" i="8"/>
  <c r="P27" i="8"/>
  <c r="H27" i="8"/>
  <c r="Q26" i="8"/>
  <c r="I26" i="8"/>
  <c r="A26" i="8"/>
  <c r="J25" i="8"/>
  <c r="B25" i="8"/>
  <c r="K24" i="8"/>
  <c r="C24" i="8"/>
  <c r="L23" i="8"/>
  <c r="D23" i="8"/>
  <c r="M22" i="8"/>
  <c r="E22" i="8"/>
  <c r="N21" i="8"/>
  <c r="F21" i="8"/>
  <c r="N20" i="8"/>
  <c r="C20" i="8"/>
  <c r="J19" i="8"/>
  <c r="P18" i="8"/>
  <c r="E18" i="8"/>
  <c r="L17" i="8"/>
  <c r="A17" i="8"/>
  <c r="G16" i="8"/>
  <c r="N15" i="8"/>
  <c r="C15" i="8"/>
  <c r="I14" i="8"/>
  <c r="P13" i="8"/>
  <c r="E13" i="8"/>
  <c r="K12" i="8"/>
  <c r="A12" i="8"/>
  <c r="G11" i="8"/>
  <c r="M10" i="8"/>
  <c r="C10" i="8"/>
  <c r="I9" i="8"/>
  <c r="O8" i="8"/>
  <c r="E8" i="8"/>
  <c r="K7" i="8"/>
  <c r="Q6" i="8"/>
  <c r="G6" i="8"/>
  <c r="M5" i="8"/>
  <c r="B5" i="8"/>
  <c r="I4" i="8"/>
  <c r="O3" i="8"/>
  <c r="D3" i="8"/>
  <c r="K2" i="8"/>
  <c r="Q1" i="8"/>
  <c r="F1" i="8"/>
  <c r="P20" i="8"/>
  <c r="L20" i="8"/>
  <c r="H20" i="8"/>
  <c r="D20" i="8"/>
  <c r="Q19" i="8"/>
  <c r="M19" i="8"/>
  <c r="I19" i="8"/>
  <c r="E19" i="8"/>
  <c r="A19" i="8"/>
  <c r="N18" i="8"/>
  <c r="J18" i="8"/>
  <c r="F18" i="8"/>
  <c r="B18" i="8"/>
  <c r="O17" i="8"/>
  <c r="K17" i="8"/>
  <c r="G17" i="8"/>
  <c r="C17" i="8"/>
  <c r="P16" i="8"/>
  <c r="L16" i="8"/>
  <c r="H16" i="8"/>
  <c r="D16" i="8"/>
  <c r="Q15" i="8"/>
  <c r="M15" i="8"/>
  <c r="I15" i="8"/>
  <c r="E15" i="8"/>
  <c r="A15" i="8"/>
  <c r="N14" i="8"/>
  <c r="J14" i="8"/>
  <c r="F14" i="8"/>
  <c r="B14" i="8"/>
  <c r="O13" i="8"/>
  <c r="K13" i="8"/>
  <c r="G13" i="8"/>
  <c r="C13" i="8"/>
  <c r="P12" i="8"/>
  <c r="L12" i="8"/>
  <c r="H12" i="8"/>
  <c r="D12" i="8"/>
  <c r="Q11" i="8"/>
  <c r="M11" i="8"/>
  <c r="I11" i="8"/>
  <c r="E11" i="8"/>
  <c r="A11" i="8"/>
  <c r="N10" i="8"/>
  <c r="J10" i="8"/>
  <c r="F10" i="8"/>
  <c r="B10" i="8"/>
  <c r="O9" i="8"/>
  <c r="K9" i="8"/>
  <c r="G9" i="8"/>
  <c r="C9" i="8"/>
  <c r="P8" i="8"/>
  <c r="L8" i="8"/>
  <c r="H8" i="8"/>
  <c r="D8" i="8"/>
  <c r="Q7" i="8"/>
  <c r="M7" i="8"/>
  <c r="I7" i="8"/>
  <c r="E7" i="8"/>
  <c r="A7" i="8"/>
  <c r="N6" i="8"/>
  <c r="J6" i="8"/>
  <c r="F6" i="8"/>
  <c r="B6" i="8"/>
  <c r="O5" i="8"/>
  <c r="K5" i="8"/>
  <c r="G5" i="8"/>
  <c r="C5" i="8"/>
  <c r="P4" i="8"/>
  <c r="L4" i="8"/>
  <c r="H4" i="8"/>
  <c r="D4" i="8"/>
  <c r="Q3" i="8"/>
  <c r="M3" i="8"/>
  <c r="I3" i="8"/>
  <c r="E3" i="8"/>
  <c r="A3" i="8"/>
  <c r="N2" i="8"/>
  <c r="J2" i="8"/>
  <c r="F2" i="8"/>
  <c r="B2" i="8"/>
  <c r="O1" i="8"/>
  <c r="K1" i="8"/>
  <c r="G1" i="8"/>
  <c r="W55" i="2"/>
  <c r="V55" i="2"/>
  <c r="U55" i="2"/>
  <c r="T55" i="2"/>
  <c r="W54" i="2"/>
  <c r="V54" i="2"/>
  <c r="U54" i="2"/>
  <c r="T54" i="2"/>
  <c r="AU47" i="2" l="1"/>
  <c r="AT47" i="2"/>
  <c r="AS47" i="2"/>
  <c r="AR47" i="2"/>
  <c r="AI47" i="2"/>
  <c r="AH47" i="2"/>
  <c r="AG47" i="2"/>
  <c r="AF47" i="2"/>
  <c r="AU46" i="2"/>
  <c r="AT46" i="2"/>
  <c r="AS46" i="2"/>
  <c r="AR46" i="2"/>
  <c r="AI46" i="2"/>
  <c r="AH46" i="2"/>
  <c r="AG46" i="2"/>
  <c r="AF46" i="2"/>
  <c r="AU45" i="2"/>
  <c r="AT45" i="2"/>
  <c r="AS45" i="2"/>
  <c r="AR45" i="2"/>
  <c r="AI45" i="2"/>
  <c r="AH45" i="2"/>
  <c r="AG45" i="2"/>
  <c r="AF45" i="2"/>
  <c r="AU44" i="2"/>
  <c r="AT44" i="2"/>
  <c r="AS44" i="2"/>
  <c r="AR44" i="2"/>
  <c r="AI44" i="2"/>
  <c r="AH44" i="2"/>
  <c r="AG44" i="2"/>
  <c r="AF44" i="2"/>
  <c r="AU9" i="2" l="1"/>
  <c r="AT9" i="2"/>
  <c r="AS9" i="2"/>
  <c r="AR9" i="2"/>
  <c r="AI9" i="2"/>
  <c r="AH9" i="2"/>
  <c r="AG9" i="2"/>
  <c r="AF9" i="2"/>
  <c r="AU25" i="2" l="1"/>
  <c r="AT25" i="2"/>
  <c r="AS25" i="2"/>
  <c r="AR25" i="2"/>
  <c r="AI25" i="2"/>
  <c r="AH25" i="2"/>
  <c r="AG25" i="2"/>
  <c r="AF25" i="2"/>
  <c r="AU24" i="2"/>
  <c r="AT24" i="2"/>
  <c r="AS24" i="2"/>
  <c r="AR24" i="2"/>
  <c r="AI24" i="2"/>
  <c r="AH24" i="2"/>
  <c r="AG24" i="2"/>
  <c r="AF24" i="2"/>
  <c r="AU23" i="2"/>
  <c r="AT23" i="2"/>
  <c r="AS23" i="2"/>
  <c r="AR23" i="2"/>
  <c r="AI23" i="2"/>
  <c r="AH23" i="2"/>
  <c r="AG23" i="2"/>
  <c r="AF23" i="2"/>
  <c r="AU18" i="2"/>
  <c r="AT18" i="2"/>
  <c r="AS18" i="2"/>
  <c r="AR18" i="2"/>
  <c r="AI18" i="2"/>
  <c r="AH18" i="2"/>
  <c r="AG18" i="2"/>
  <c r="AF18" i="2"/>
  <c r="AU19" i="2"/>
  <c r="AT19" i="2"/>
  <c r="AS19" i="2"/>
  <c r="AR19" i="2"/>
  <c r="AI19" i="2"/>
  <c r="AH19" i="2"/>
  <c r="AG19" i="2"/>
  <c r="AF19" i="2"/>
  <c r="AU20" i="2"/>
  <c r="AT20" i="2"/>
  <c r="AS20" i="2"/>
  <c r="AR20" i="2"/>
  <c r="AI20" i="2"/>
  <c r="AH20" i="2"/>
  <c r="AG20" i="2"/>
  <c r="AF20" i="2"/>
  <c r="AU21" i="2"/>
  <c r="AT21" i="2"/>
  <c r="AS21" i="2"/>
  <c r="AR21" i="2"/>
  <c r="AI21" i="2"/>
  <c r="AH21" i="2"/>
  <c r="AG21" i="2"/>
  <c r="AF21" i="2"/>
  <c r="AU22" i="2"/>
  <c r="AT22" i="2"/>
  <c r="AS22" i="2"/>
  <c r="AR22" i="2"/>
  <c r="AI22" i="2"/>
  <c r="AH22" i="2"/>
  <c r="AG22" i="2"/>
  <c r="AF22" i="2"/>
  <c r="AU26" i="2"/>
  <c r="AT26" i="2"/>
  <c r="AS26" i="2"/>
  <c r="AR26" i="2"/>
  <c r="AI26" i="2"/>
  <c r="AH26" i="2"/>
  <c r="AG26" i="2"/>
  <c r="AF26" i="2"/>
  <c r="AU27" i="2"/>
  <c r="AT27" i="2"/>
  <c r="AS27" i="2"/>
  <c r="AR27" i="2"/>
  <c r="AI27" i="2"/>
  <c r="AH27" i="2"/>
  <c r="AG27" i="2"/>
  <c r="AF27" i="2"/>
  <c r="AU28" i="2"/>
  <c r="AT28" i="2"/>
  <c r="AS28" i="2"/>
  <c r="AR28" i="2"/>
  <c r="AI28" i="2"/>
  <c r="AH28" i="2"/>
  <c r="AG28" i="2"/>
  <c r="AF28" i="2"/>
  <c r="AU33" i="2"/>
  <c r="AT33" i="2"/>
  <c r="AS33" i="2"/>
  <c r="AR33" i="2"/>
  <c r="AI33" i="2"/>
  <c r="AH33" i="2"/>
  <c r="AG33" i="2"/>
  <c r="AF33" i="2"/>
  <c r="AU17" i="2"/>
  <c r="AT17" i="2"/>
  <c r="AS17" i="2"/>
  <c r="AR17" i="2"/>
  <c r="AI17" i="2"/>
  <c r="AH17" i="2"/>
  <c r="AG17" i="2"/>
  <c r="AF17" i="2"/>
  <c r="AU30" i="2"/>
  <c r="AT30" i="2"/>
  <c r="AS30" i="2"/>
  <c r="AR30" i="2"/>
  <c r="AI30" i="2"/>
  <c r="AH30" i="2"/>
  <c r="AG30" i="2"/>
  <c r="AF30" i="2"/>
  <c r="AU31" i="2"/>
  <c r="AT31" i="2"/>
  <c r="AS31" i="2"/>
  <c r="AR31" i="2"/>
  <c r="AI31" i="2"/>
  <c r="AH31" i="2"/>
  <c r="AG31" i="2"/>
  <c r="AF31" i="2"/>
  <c r="AU16" i="2" l="1"/>
  <c r="AT16" i="2"/>
  <c r="AS16" i="2"/>
  <c r="AR16" i="2"/>
  <c r="AI16" i="2"/>
  <c r="AH16" i="2"/>
  <c r="AG16" i="2"/>
  <c r="AF16" i="2"/>
  <c r="AU7" i="2"/>
  <c r="AT7" i="2"/>
  <c r="AS7" i="2"/>
  <c r="AR7" i="2"/>
  <c r="AI7" i="2"/>
  <c r="AH7" i="2"/>
  <c r="AG7" i="2"/>
  <c r="AF7" i="2"/>
  <c r="AU8" i="2"/>
  <c r="AT8" i="2"/>
  <c r="AS8" i="2"/>
  <c r="AR8" i="2"/>
  <c r="AI8" i="2"/>
  <c r="AH8" i="2"/>
  <c r="AG8" i="2"/>
  <c r="AF8" i="2"/>
  <c r="AU10" i="2"/>
  <c r="AT10" i="2"/>
  <c r="AS10" i="2"/>
  <c r="AR10" i="2"/>
  <c r="AI10" i="2"/>
  <c r="AH10" i="2"/>
  <c r="AG10" i="2"/>
  <c r="AF10" i="2"/>
  <c r="AU15" i="2"/>
  <c r="AT15" i="2"/>
  <c r="AS15" i="2"/>
  <c r="AR15" i="2"/>
  <c r="AI15" i="2"/>
  <c r="AH15" i="2"/>
  <c r="AG15" i="2"/>
  <c r="AF15" i="2"/>
  <c r="AU11" i="2"/>
  <c r="AT11" i="2"/>
  <c r="AS11" i="2"/>
  <c r="AR11" i="2"/>
  <c r="AI11" i="2"/>
  <c r="AH11" i="2"/>
  <c r="AG11" i="2"/>
  <c r="AF11" i="2"/>
  <c r="AU12" i="2"/>
  <c r="AT12" i="2"/>
  <c r="AS12" i="2"/>
  <c r="AR12" i="2"/>
  <c r="AI12" i="2"/>
  <c r="AH12" i="2"/>
  <c r="AG12" i="2"/>
  <c r="AF12" i="2"/>
  <c r="AU13" i="2"/>
  <c r="AT13" i="2"/>
  <c r="AS13" i="2"/>
  <c r="AR13" i="2"/>
  <c r="AI13" i="2"/>
  <c r="AH13" i="2"/>
  <c r="AG13" i="2"/>
  <c r="AF13" i="2"/>
  <c r="AU50" i="2" l="1"/>
  <c r="AT50" i="2"/>
  <c r="AS50" i="2"/>
  <c r="AR50" i="2"/>
  <c r="AI50" i="2"/>
  <c r="AH50" i="2"/>
  <c r="AG50" i="2"/>
  <c r="AF50" i="2"/>
  <c r="AU49" i="2"/>
  <c r="AT49" i="2"/>
  <c r="AS49" i="2"/>
  <c r="AR49" i="2"/>
  <c r="AI49" i="2"/>
  <c r="AH49" i="2"/>
  <c r="AG49" i="2"/>
  <c r="AF49" i="2"/>
  <c r="AU41" i="2"/>
  <c r="AT41" i="2"/>
  <c r="AS41" i="2"/>
  <c r="AR41" i="2"/>
  <c r="AI41" i="2"/>
  <c r="AH41" i="2"/>
  <c r="AG41" i="2"/>
  <c r="AF41" i="2"/>
  <c r="AU53" i="2" l="1"/>
  <c r="AT53" i="2"/>
  <c r="AS53" i="2"/>
  <c r="AR53" i="2"/>
  <c r="AI53" i="2"/>
  <c r="AH53" i="2"/>
  <c r="AG53" i="2"/>
  <c r="AF53" i="2"/>
  <c r="AU52" i="2"/>
  <c r="AT52" i="2"/>
  <c r="AS52" i="2"/>
  <c r="AR52" i="2"/>
  <c r="AI52" i="2"/>
  <c r="AH52" i="2"/>
  <c r="AG52" i="2"/>
  <c r="AF52" i="2"/>
  <c r="AU55" i="2" l="1"/>
  <c r="AT55" i="2"/>
  <c r="AS55" i="2"/>
  <c r="AR55" i="2"/>
  <c r="AU40" i="2"/>
  <c r="AT40" i="2"/>
  <c r="AS40" i="2"/>
  <c r="AR40" i="2"/>
  <c r="AU48" i="2"/>
  <c r="AT48" i="2"/>
  <c r="AS48" i="2"/>
  <c r="AR48" i="2"/>
  <c r="AU6" i="2"/>
  <c r="AT6" i="2"/>
  <c r="AS6" i="2"/>
  <c r="AR6" i="2"/>
  <c r="AU54" i="2"/>
  <c r="AT54" i="2"/>
  <c r="AS54" i="2"/>
  <c r="AR54" i="2"/>
  <c r="AU43" i="2"/>
  <c r="AT43" i="2"/>
  <c r="AS43" i="2"/>
  <c r="AR43" i="2"/>
  <c r="AU42" i="2"/>
  <c r="AT42" i="2"/>
  <c r="AS42" i="2"/>
  <c r="AR42" i="2"/>
  <c r="AU51" i="2"/>
  <c r="AT51" i="2"/>
  <c r="AS51" i="2"/>
  <c r="AR51" i="2"/>
  <c r="AI55" i="2"/>
  <c r="AH55" i="2"/>
  <c r="AG55" i="2"/>
  <c r="AF55" i="2"/>
  <c r="AI40" i="2"/>
  <c r="AH40" i="2"/>
  <c r="AG40" i="2"/>
  <c r="AF40" i="2"/>
  <c r="AI48" i="2"/>
  <c r="AH48" i="2"/>
  <c r="AG48" i="2"/>
  <c r="AF48" i="2"/>
  <c r="AI6" i="2"/>
  <c r="AH6" i="2"/>
  <c r="AG6" i="2"/>
  <c r="AF6" i="2"/>
  <c r="AI54" i="2"/>
  <c r="AH54" i="2"/>
  <c r="AG54" i="2"/>
  <c r="AF54" i="2"/>
  <c r="AI43" i="2"/>
  <c r="AH43" i="2"/>
  <c r="AG43" i="2"/>
  <c r="AF43" i="2"/>
  <c r="AI42" i="2"/>
  <c r="AH42" i="2"/>
  <c r="AG42" i="2"/>
  <c r="AF42" i="2"/>
  <c r="AI51" i="2"/>
  <c r="AH51" i="2"/>
  <c r="AG51" i="2"/>
  <c r="AF51"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V15" i="2" s="1"/>
  <c r="D12" i="6"/>
  <c r="W15" i="2" s="1"/>
  <c r="M11" i="6"/>
  <c r="I11" i="6"/>
  <c r="E11" i="6"/>
  <c r="N10" i="6"/>
  <c r="J10" i="6"/>
  <c r="F10" i="6"/>
  <c r="B10" i="6"/>
  <c r="O9" i="6"/>
  <c r="K9" i="6"/>
  <c r="G9" i="6"/>
  <c r="C9" i="6"/>
  <c r="L8" i="6"/>
  <c r="H8" i="6"/>
  <c r="D8" i="6"/>
  <c r="M7" i="6"/>
  <c r="I7" i="6"/>
  <c r="E7" i="6"/>
  <c r="N6" i="6"/>
  <c r="J6" i="6"/>
  <c r="F6" i="6"/>
  <c r="B6" i="6"/>
  <c r="O5" i="6"/>
  <c r="K5" i="6"/>
  <c r="G5" i="6"/>
  <c r="C5" i="6"/>
  <c r="L4" i="6"/>
  <c r="H4" i="6"/>
  <c r="D4" i="6"/>
  <c r="W38" i="2" l="1"/>
  <c r="V38" i="2"/>
  <c r="V17" i="2"/>
  <c r="V19" i="2"/>
  <c r="W36" i="2"/>
  <c r="W34" i="2"/>
  <c r="V36" i="2"/>
  <c r="V34" i="2"/>
  <c r="V26" i="2"/>
  <c r="V20" i="2"/>
  <c r="V16" i="2"/>
  <c r="W14" i="2"/>
  <c r="V14" i="2"/>
  <c r="W29" i="2"/>
  <c r="W25" i="2"/>
  <c r="W23" i="2"/>
  <c r="W21" i="2"/>
  <c r="U22" i="2"/>
  <c r="T32" i="2"/>
  <c r="T24" i="2"/>
  <c r="U24" i="2"/>
  <c r="T30" i="2"/>
  <c r="U39" i="2"/>
  <c r="U31" i="2"/>
  <c r="U29" i="2"/>
  <c r="U27" i="2"/>
  <c r="U25" i="2"/>
  <c r="U23" i="2"/>
  <c r="U21" i="2"/>
  <c r="U17" i="2"/>
  <c r="U18" i="2"/>
  <c r="T18" i="2"/>
  <c r="T39" i="2"/>
  <c r="T31" i="2"/>
  <c r="T29" i="2"/>
  <c r="T27" i="2"/>
  <c r="T25" i="2"/>
  <c r="T23" i="2"/>
  <c r="T21" i="2"/>
  <c r="T17" i="2"/>
  <c r="W28" i="2"/>
  <c r="W24" i="2"/>
  <c r="W22" i="2"/>
  <c r="U28" i="2"/>
  <c r="U32" i="2"/>
  <c r="U30" i="2"/>
  <c r="T28" i="2"/>
  <c r="T22" i="2"/>
  <c r="W35" i="2"/>
  <c r="W19" i="2"/>
  <c r="V35" i="2"/>
  <c r="W16" i="2"/>
  <c r="V47" i="2"/>
  <c r="V45" i="2"/>
  <c r="V43" i="2"/>
  <c r="V41" i="2"/>
  <c r="V44" i="2"/>
  <c r="V40" i="2"/>
  <c r="V46" i="2"/>
  <c r="V42" i="2"/>
  <c r="V8" i="2"/>
  <c r="T16" i="2"/>
  <c r="U37" i="2"/>
  <c r="U35" i="2"/>
  <c r="U19" i="2"/>
  <c r="T34" i="2"/>
  <c r="T37" i="2"/>
  <c r="T35" i="2"/>
  <c r="T19" i="2"/>
  <c r="U16" i="2"/>
  <c r="T36" i="2"/>
  <c r="T20" i="2"/>
  <c r="W26" i="2"/>
  <c r="W20" i="2"/>
  <c r="T26" i="2"/>
  <c r="U36" i="2"/>
  <c r="U34" i="2"/>
  <c r="U26" i="2"/>
  <c r="U20" i="2"/>
  <c r="W27" i="2"/>
  <c r="V29" i="2"/>
  <c r="W30" i="2"/>
  <c r="W18" i="2"/>
  <c r="U9" i="2"/>
  <c r="U12" i="2"/>
  <c r="U7" i="2"/>
  <c r="U33" i="2"/>
  <c r="U13" i="2"/>
  <c r="U11" i="2"/>
  <c r="T7" i="2"/>
  <c r="T33" i="2"/>
  <c r="T13" i="2"/>
  <c r="T11" i="2"/>
  <c r="T9" i="2"/>
  <c r="U10" i="2"/>
  <c r="T10" i="2"/>
  <c r="T12" i="2"/>
  <c r="V53" i="2"/>
  <c r="V51" i="2"/>
  <c r="V49" i="2"/>
  <c r="V52" i="2"/>
  <c r="V50" i="2"/>
  <c r="V48" i="2"/>
  <c r="W13" i="2"/>
  <c r="W11" i="2"/>
  <c r="W9" i="2"/>
  <c r="W7" i="2"/>
  <c r="W12" i="2"/>
  <c r="W10" i="2"/>
  <c r="W33" i="2"/>
  <c r="W47" i="2"/>
  <c r="W45" i="2"/>
  <c r="W43" i="2"/>
  <c r="W41" i="2"/>
  <c r="W44" i="2"/>
  <c r="W40" i="2"/>
  <c r="T40" i="2"/>
  <c r="T44" i="2"/>
  <c r="U47" i="2"/>
  <c r="U45" i="2"/>
  <c r="U43" i="2"/>
  <c r="U41" i="2"/>
  <c r="T47" i="2"/>
  <c r="T45" i="2"/>
  <c r="T43" i="2"/>
  <c r="T41" i="2"/>
  <c r="U44" i="2"/>
  <c r="U40" i="2"/>
  <c r="U38" i="2"/>
  <c r="T38" i="2"/>
  <c r="W37" i="2"/>
  <c r="V37" i="2"/>
  <c r="V7" i="2"/>
  <c r="V33" i="2"/>
  <c r="V13" i="2"/>
  <c r="V11" i="2"/>
  <c r="V9" i="2"/>
  <c r="V12" i="2"/>
  <c r="V10" i="2"/>
  <c r="W39" i="2"/>
  <c r="W31" i="2"/>
  <c r="W17" i="2"/>
  <c r="V39" i="2"/>
  <c r="V31" i="2"/>
  <c r="V27" i="2"/>
  <c r="V25" i="2"/>
  <c r="V23" i="2"/>
  <c r="V21" i="2"/>
  <c r="W32" i="2"/>
  <c r="V32" i="2"/>
  <c r="V30" i="2"/>
  <c r="V28" i="2"/>
  <c r="V24" i="2"/>
  <c r="V22" i="2"/>
  <c r="V18" i="2"/>
  <c r="T48" i="2"/>
  <c r="T14" i="2"/>
  <c r="T8" i="2"/>
  <c r="U8" i="2"/>
  <c r="U53" i="2"/>
  <c r="U51" i="2"/>
  <c r="U49" i="2"/>
  <c r="T53" i="2"/>
  <c r="T51" i="2"/>
  <c r="T49" i="2"/>
  <c r="T52" i="2"/>
  <c r="T46" i="2"/>
  <c r="U52" i="2"/>
  <c r="U50" i="2"/>
  <c r="U48" i="2"/>
  <c r="U46" i="2"/>
  <c r="U42" i="2"/>
  <c r="U14" i="2"/>
  <c r="T50" i="2"/>
  <c r="T42" i="2"/>
  <c r="U15" i="2"/>
  <c r="T15" i="2"/>
  <c r="W53" i="2"/>
  <c r="W51" i="2"/>
  <c r="W49" i="2"/>
  <c r="W8" i="2"/>
  <c r="W52" i="2"/>
  <c r="W50" i="2"/>
  <c r="W48" i="2"/>
  <c r="W46" i="2"/>
  <c r="W42" i="2"/>
  <c r="W6" i="2"/>
  <c r="V6" i="2"/>
  <c r="U6" i="2"/>
  <c r="T6" i="2"/>
</calcChain>
</file>

<file path=xl/sharedStrings.xml><?xml version="1.0" encoding="utf-8"?>
<sst xmlns="http://schemas.openxmlformats.org/spreadsheetml/2006/main" count="739" uniqueCount="348">
  <si>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</si>
  <si>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</si>
  <si>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</si>
  <si>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</si>
  <si>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</si>
  <si>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</si>
  <si>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</si>
  <si>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</si>
  <si>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</si>
  <si>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</si>
  <si>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</si>
  <si>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</si>
  <si>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</si>
  <si>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</si>
  <si>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</si>
  <si>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</si>
  <si>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</si>
  <si>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</si>
  <si>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Novel Aspects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</si>
  <si>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</si>
  <si>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</si>
  <si>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</si>
  <si>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</si>
  <si>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</si>
  <si>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</si>
  <si>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</si>
  <si>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</si>
  <si>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</si>
  <si>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</si>
  <si>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</si>
  <si>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</si>
  <si>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</si>
  <si>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</si>
  <si>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</si>
  <si>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</si>
  <si>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</si>
  <si>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</si>
  <si>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</si>
  <si>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Improper installation or manufacturing defect results in failure</t>
  </si>
  <si>
    <t>Fire/smoke</t>
  </si>
  <si>
    <t>Normal</t>
  </si>
  <si>
    <t>none</t>
  </si>
  <si>
    <t>Manual in-situ repair and inspection</t>
  </si>
  <si>
    <t xml:space="preserve">Tech. 
Class
</t>
  </si>
  <si>
    <t>0400 SCADA FMECA Table</t>
  </si>
  <si>
    <t>Control and data collection</t>
  </si>
  <si>
    <t xml:space="preserve">1) Fire/smoke alarm
</t>
  </si>
  <si>
    <t>1) Enclosure fire alarm
2) Enclosure temperature
3) Visible and IR camera</t>
  </si>
  <si>
    <t>410-1</t>
  </si>
  <si>
    <t>Provide position feedback to drives</t>
  </si>
  <si>
    <t>Signal failure</t>
  </si>
  <si>
    <t>Hardware or wiring failure</t>
  </si>
  <si>
    <t>1) Redundancy</t>
  </si>
  <si>
    <t>1) None</t>
  </si>
  <si>
    <t>1) Encoder data</t>
  </si>
  <si>
    <t>410-2</t>
  </si>
  <si>
    <t>new environment</t>
  </si>
  <si>
    <t>430-1</t>
  </si>
  <si>
    <t>Issue cooling commands</t>
  </si>
  <si>
    <t>1) Under cooling results in PTO shutdown
2) Overcooling wasted energy</t>
  </si>
  <si>
    <t>Communication issue</t>
  </si>
  <si>
    <t>1) Fault detection of primary SCADA</t>
  </si>
  <si>
    <t>1) Primary SCADA cooling command
2) Stator temperature(s) out of range</t>
  </si>
  <si>
    <t>430-2</t>
  </si>
  <si>
    <t>Corrosion induced failure short circuit</t>
  </si>
  <si>
    <t>1) Visual inspection
2) Fault detection of primary SCADA</t>
  </si>
  <si>
    <t>430-3</t>
  </si>
  <si>
    <t>430-6</t>
  </si>
  <si>
    <t>None</t>
  </si>
  <si>
    <t>1) Manual check on commissioning
2) Primary SCADA cooling command
3) Stator temperature(s) out of range</t>
  </si>
  <si>
    <t>Remote programming repair</t>
  </si>
  <si>
    <t>Vibration and/or motion induced failure</t>
  </si>
  <si>
    <t>Water induced failure 
(non-corrosion)</t>
  </si>
  <si>
    <t>430-9</t>
  </si>
  <si>
    <t>Issue PTO commands</t>
  </si>
  <si>
    <t>SCADA torque command excessive or uncontrolled</t>
  </si>
  <si>
    <t>1) High/erratic torque on PTO
2) WEC pitch effected
3) Generator performance affected
4) Potential motoring losses
5) Deviation from control plan</t>
  </si>
  <si>
    <t>1) V&amp;V (QC)
2) Redundant SCADA controllers
3) Simotion prevents over torque execution
4) Default linear control command issued by Simotion controller</t>
  </si>
  <si>
    <t>1) Primary SCADA torque command</t>
  </si>
  <si>
    <t xml:space="preserve">1) High/erratic torque on PTO
2) WEC pitch effected
3) Generator performance affected
4) Potential motoring losses
5) Deviation from control plan
</t>
  </si>
  <si>
    <t xml:space="preserve">1) Simotion controller fail safe design
2) Control taken by alternate side PLC </t>
  </si>
  <si>
    <t>1) Torque command
2) Simotion current output
3) Simotion torque output
4) Stator load cell output</t>
  </si>
  <si>
    <t>1) Modal analysis
2) Redundant SCADA controllers
3) Simotion prevents over torque execution
4)Default linear control command issued by Simotion controller</t>
  </si>
  <si>
    <t>1) Marine rated corrosion resistance design
2) Redundant SCADA controllers
3) Simotion prevents over torque execution
4) Default torque command issued by Simotion controller</t>
  </si>
  <si>
    <t>SCADA torque command not issued</t>
  </si>
  <si>
    <t>1) Simotion controller takes over torque command
2) Deviation from control plan</t>
  </si>
  <si>
    <t>1) V&amp;V (QC)
2) Redundant SCADA controllers
3) Default linear control command issued by Simotion controller</t>
  </si>
  <si>
    <t>1) V&amp;V (QC)
2) Redundant SCADA controllers
3) Default torque command issued by Simotion controller</t>
  </si>
  <si>
    <t>1) Manual check on commissioning
2) Primary SCADA torque command</t>
  </si>
  <si>
    <t>410-3</t>
  </si>
  <si>
    <t>410-5</t>
  </si>
  <si>
    <t>410-6</t>
  </si>
  <si>
    <t>410-7</t>
  </si>
  <si>
    <t>410-8</t>
  </si>
  <si>
    <t>410-9</t>
  </si>
  <si>
    <t>410-10</t>
  </si>
  <si>
    <t>410-11</t>
  </si>
  <si>
    <t>410-12</t>
  </si>
  <si>
    <t>410-13</t>
  </si>
  <si>
    <t>410-14</t>
  </si>
  <si>
    <t>410-15</t>
  </si>
  <si>
    <t>410-16</t>
  </si>
  <si>
    <t>1) No gap data from failed sensor</t>
  </si>
  <si>
    <t>provides measured stator torque for one stator section</t>
  </si>
  <si>
    <t>Rail wheel load pin</t>
  </si>
  <si>
    <t>provides normal force on rail wheels for one stator section</t>
  </si>
  <si>
    <t>Seal gap sensor</t>
  </si>
  <si>
    <t>Generator gap sensor</t>
  </si>
  <si>
    <t>Provides seal gap position</t>
  </si>
  <si>
    <t>Provides stator position w.r.t. the outer housing and rotor</t>
  </si>
  <si>
    <t>Main/secondary bearing temperature</t>
  </si>
  <si>
    <t>SCADA enclosure temperature</t>
  </si>
  <si>
    <t>Control room temperature</t>
  </si>
  <si>
    <t>Control room humidity</t>
  </si>
  <si>
    <t>Station power draw</t>
  </si>
  <si>
    <t>Bilge water level</t>
  </si>
  <si>
    <t>Communication with M2G</t>
  </si>
  <si>
    <t>Cooling temp, pressure, flow sensor</t>
  </si>
  <si>
    <t>1) No bearing temp data</t>
  </si>
  <si>
    <t>1) No torque data from failed sensor</t>
  </si>
  <si>
    <t>1) No load data from failed sensor</t>
  </si>
  <si>
    <t>1) No seal gap data from failed sensor</t>
  </si>
  <si>
    <t>1) No enclosure temperature</t>
  </si>
  <si>
    <t>1) No control room temperature</t>
  </si>
  <si>
    <t>1) No control room humidity</t>
  </si>
  <si>
    <t>1) No sensor temp data from failed sensor</t>
  </si>
  <si>
    <t>1) No station power draw data</t>
  </si>
  <si>
    <t>1) No bilge water level data from failed sensor</t>
  </si>
  <si>
    <t>1) No cooling data from failed sensor</t>
  </si>
  <si>
    <t>1) No strain data from failed sensor</t>
  </si>
  <si>
    <t>Provides bearing temperatures</t>
  </si>
  <si>
    <t>Provides SCADA enclosure temperatures</t>
  </si>
  <si>
    <t>Provides PTO structure temperatures</t>
  </si>
  <si>
    <t>Provides PTO structure humidity</t>
  </si>
  <si>
    <t>Provides control room temperatures</t>
  </si>
  <si>
    <t>Provides control room structure humidity</t>
  </si>
  <si>
    <t>Provides sensor temperatures</t>
  </si>
  <si>
    <t>Provides station power draw</t>
  </si>
  <si>
    <t>Provide bilge water level</t>
  </si>
  <si>
    <t>Communicates all M2G data and PTO control commands</t>
  </si>
  <si>
    <t>Provides cooling data</t>
  </si>
  <si>
    <t>Provides strain data</t>
  </si>
  <si>
    <t>410-17</t>
  </si>
  <si>
    <t>410-18</t>
  </si>
  <si>
    <t>410-19</t>
  </si>
  <si>
    <t>410-20</t>
  </si>
  <si>
    <t>410-21</t>
  </si>
  <si>
    <t>410-22</t>
  </si>
  <si>
    <t>410-23</t>
  </si>
  <si>
    <t>410-24</t>
  </si>
  <si>
    <t>410-25</t>
  </si>
  <si>
    <t>410-26</t>
  </si>
  <si>
    <t>410-27</t>
  </si>
  <si>
    <t>410-28</t>
  </si>
  <si>
    <t>410-29</t>
  </si>
  <si>
    <t>410-30</t>
  </si>
  <si>
    <t>1) Link bar data lost</t>
  </si>
  <si>
    <t>1) Gap sensor data lost</t>
  </si>
  <si>
    <t>1) Seal gap data lost</t>
  </si>
  <si>
    <t>1) Bearing temp data lost</t>
  </si>
  <si>
    <t>1) SCADA enclosure data lost</t>
  </si>
  <si>
    <t>1) PTO structure temp data lost</t>
  </si>
  <si>
    <t>1) PTO structure humidity data lost</t>
  </si>
  <si>
    <t>1) Control room temp data lost</t>
  </si>
  <si>
    <t>1) Control room humidity data lost</t>
  </si>
  <si>
    <t>1) Sensor temp data lost</t>
  </si>
  <si>
    <t>1) Station power data lost</t>
  </si>
  <si>
    <t>1) Bilge level data lost</t>
  </si>
  <si>
    <t>1) M2G data lost
2) PTO control not responding</t>
  </si>
  <si>
    <t>1) Cooling parameter data lost</t>
  </si>
  <si>
    <t>1) Strain data lost</t>
  </si>
  <si>
    <t xml:space="preserve">Power failure to encoder
</t>
  </si>
  <si>
    <t>Corrosion induced failure</t>
  </si>
  <si>
    <t>410-31</t>
  </si>
  <si>
    <t>Inertial measurement unit (IMU)</t>
  </si>
  <si>
    <t>Provides nacelle body motion data</t>
  </si>
  <si>
    <t>1) No motion data from failed sensor</t>
  </si>
  <si>
    <t>1) IMU data lost</t>
  </si>
  <si>
    <t>410-32</t>
  </si>
  <si>
    <t>Bilge pump status</t>
  </si>
  <si>
    <t>Provides bilge pump status data</t>
  </si>
  <si>
    <t>1) No bilge pump status</t>
  </si>
  <si>
    <t>1) Redundant systems</t>
  </si>
  <si>
    <t>1) Comparison to float switch data</t>
  </si>
  <si>
    <t>Provide real-time AWAC data</t>
  </si>
  <si>
    <t>1) No AWAC data available</t>
  </si>
  <si>
    <t>1) No AWAC data available in real-time</t>
  </si>
  <si>
    <t>Provide wind speed and direction</t>
  </si>
  <si>
    <t>1) No WEC wind data</t>
  </si>
  <si>
    <t>1) Wind data lost</t>
  </si>
  <si>
    <t>Provide GPS position and heading</t>
  </si>
  <si>
    <t>Mooring load cell</t>
  </si>
  <si>
    <t>Provide mooring load data</t>
  </si>
  <si>
    <t>1) No mooring tension from failed sensor</t>
  </si>
  <si>
    <t>1) Inspection</t>
  </si>
  <si>
    <t>1) Mooring data lost</t>
  </si>
  <si>
    <t>400-1</t>
  </si>
  <si>
    <t>SCADA components</t>
  </si>
  <si>
    <t xml:space="preserve">1) Power loss due to short 
2) Damage to SCADA system
</t>
  </si>
  <si>
    <t>1) All SCADA functions are redundant on alternate side
2) Airtight enclosures 
3) Low power 
4) In cabinet fire suppression</t>
  </si>
  <si>
    <t>Encoder failure</t>
  </si>
  <si>
    <t>All encoders failed for one PTO</t>
  </si>
  <si>
    <t>Single PTO tape scale encoder</t>
  </si>
  <si>
    <t>1) V&amp;V</t>
  </si>
  <si>
    <t>1) V&amp;V
2) Security</t>
  </si>
  <si>
    <t>Power supply</t>
  </si>
  <si>
    <t>Power from M2G</t>
  </si>
  <si>
    <t>1) Redundant power supplies
2) Powered from M2G</t>
  </si>
  <si>
    <t>Encoder power from M2G</t>
  </si>
  <si>
    <t>SCADA offline</t>
  </si>
  <si>
    <t>1) No PTO structure temperature</t>
  </si>
  <si>
    <t>1) No PTO structure humidity</t>
  </si>
  <si>
    <t>Anemometer</t>
  </si>
  <si>
    <t>1) Status of individual PS</t>
  </si>
  <si>
    <t>1) No SCADA</t>
  </si>
  <si>
    <t>Torque rod load cell</t>
  </si>
  <si>
    <t>1) Redundant sensors</t>
  </si>
  <si>
    <t>1) Rail wheel load data lost</t>
  </si>
  <si>
    <t>1) Redundancy 4x per bearing</t>
  </si>
  <si>
    <t>PTO module temperature</t>
  </si>
  <si>
    <t>PTO module humidity</t>
  </si>
  <si>
    <t>Stator sensor temperatures</t>
  </si>
  <si>
    <t>Vibration accelerometer</t>
  </si>
  <si>
    <t>Real-time AWAC/ADV connection</t>
  </si>
  <si>
    <t>1) Data can be downloaded later</t>
  </si>
  <si>
    <t>GPS &amp; heading sensor</t>
  </si>
  <si>
    <t>1) No GPS position or heading data  from failed sensor</t>
  </si>
  <si>
    <t>1) GPS &amp; heading data lost</t>
  </si>
  <si>
    <t>1) Data lost</t>
  </si>
  <si>
    <t>Manual in-situ repair and inspection on most locations</t>
  </si>
  <si>
    <t>Cooling commands may be replaced by M2G</t>
  </si>
  <si>
    <t>StingRAY Control and SCADA FMECA</t>
  </si>
  <si>
    <t>SR-0400-RR</t>
  </si>
  <si>
    <t>A Schacher</t>
  </si>
  <si>
    <t>1.0</t>
  </si>
  <si>
    <t>Released to GH for review</t>
  </si>
  <si>
    <t>Edits following GH review</t>
  </si>
  <si>
    <t>2.0</t>
  </si>
  <si>
    <t>New format and risk ranking, additional input</t>
  </si>
  <si>
    <t>P Lenee-Bluhm, J Prudell, E Hammagren, Z Zhang, M Ondusko</t>
  </si>
  <si>
    <t>410-4</t>
  </si>
  <si>
    <t>Contamination induced failure</t>
  </si>
  <si>
    <t>Backups + 1  encoders failure</t>
  </si>
  <si>
    <t>1) having installed backups</t>
  </si>
  <si>
    <t>manual supply replacement</t>
  </si>
  <si>
    <t>1) All encoder fail for one PTO</t>
  </si>
  <si>
    <t>1) No vibration data from failed sensor</t>
  </si>
  <si>
    <t xml:space="preserve">1) V&amp;V (QC)
2) Redundant SCADA controllers
</t>
  </si>
  <si>
    <t xml:space="preserve">1) Marine rated corrosion resistance design
2) Redundant SCADA controllers
</t>
  </si>
  <si>
    <t>PTO Command</t>
  </si>
  <si>
    <t>PLC</t>
  </si>
  <si>
    <t>PLC Failure</t>
  </si>
  <si>
    <t>Server PC</t>
  </si>
  <si>
    <t>PC Failure</t>
  </si>
  <si>
    <t>Cooling Command (generate and issue)</t>
  </si>
  <si>
    <t xml:space="preserve">Software / programming error
</t>
  </si>
  <si>
    <t>limited to default linear damping
These change with control mode. i.e. linear is limited to 2 quadrant. 
Simotion is always responsible for machine limits.
Cooling is defaulted to max</t>
  </si>
  <si>
    <t>1) PTO command failure
2) Cooling system command failure
3) Alarming failure</t>
  </si>
  <si>
    <t>1) Data collection failure
2) HMI visualization failure
3) Alarm reporting failure</t>
  </si>
  <si>
    <t>1) Visual inspection
2) Fault detection of primary PLC</t>
  </si>
  <si>
    <t>1) Fault detection of primary PLC</t>
  </si>
  <si>
    <t>1) No primary data collection
2) Primary HMI unavailable</t>
  </si>
  <si>
    <t>430-4</t>
  </si>
  <si>
    <t>430-7</t>
  </si>
  <si>
    <t>430-8</t>
  </si>
  <si>
    <t>Provide power to SCADA</t>
  </si>
  <si>
    <t>Provide vibration data</t>
  </si>
  <si>
    <t>435-1</t>
  </si>
  <si>
    <t>435-2</t>
  </si>
  <si>
    <t>435-3</t>
  </si>
  <si>
    <t>435-4</t>
  </si>
  <si>
    <t>435-5</t>
  </si>
  <si>
    <t>435-6</t>
  </si>
  <si>
    <t>Expert Review</t>
  </si>
  <si>
    <t>Eng man Appr</t>
  </si>
  <si>
    <t>Corp Appr</t>
  </si>
  <si>
    <t>CPwr Review</t>
  </si>
  <si>
    <t>It is assumed that failure due to improper installation or manufacturing faults are usually mitigated via manufacturer's in house quality control and testing of the components. The failure mode should focus on quality control or testing specific to the WEC applications. Hence, the description of failure cause to be more specific to capture the failure causes unique to StingRAY device, or remove if none has been identified.</t>
  </si>
  <si>
    <t>DNV GL comment</t>
  </si>
  <si>
    <t>See comment in Risk ID 410-1</t>
  </si>
  <si>
    <t>See comment in Risk ID 410-1.</t>
  </si>
  <si>
    <t>See risk ID 410-4</t>
  </si>
  <si>
    <t>See comment in risk ID 410-10</t>
  </si>
  <si>
    <t xml:space="preserve">More specific failure mode analysis required, see the suggested breakdown directly below. </t>
  </si>
  <si>
    <r>
      <rPr>
        <strike/>
        <sz val="11"/>
        <rFont val="Times New Roman"/>
        <family val="1"/>
      </rPr>
      <t>none</t>
    </r>
    <r>
      <rPr>
        <sz val="11"/>
        <color rgb="FFFF0000"/>
        <rFont val="Times New Roman"/>
        <family val="1"/>
      </rPr>
      <t xml:space="preserve">
Marine application
Vibration levels</t>
    </r>
  </si>
  <si>
    <r>
      <rPr>
        <strike/>
        <sz val="11"/>
        <rFont val="Times New Roman"/>
        <family val="1"/>
      </rPr>
      <t>1</t>
    </r>
    <r>
      <rPr>
        <sz val="11"/>
        <color rgb="FFFF0000"/>
        <rFont val="Times New Roman"/>
        <family val="1"/>
      </rPr>
      <t xml:space="preserve">
2</t>
    </r>
  </si>
  <si>
    <t>Suggest to include a more detailed FMEA that includes different failure modes, see detail breakdown below. For the rest of the sensor:
1. Assess if the failure causes apply.
2. Assess if the risk ranking are the same
Answers to 1 and 2 are "yes", then just make reference to the risk ID of this component to avoid repetition.</t>
  </si>
  <si>
    <t xml:space="preserve">See comment in Risk ID 410-1. Since the occurrence class assigned here is higher, please clarify if this is due to improper installation or manufacturing faults that are specific to the WEC. </t>
  </si>
  <si>
    <t>It is expected that most software and programming error will have been corrected during commissioning and testing, unless CPwr expects the software/programme will be continuously refined and modified after deployment and the existing testing and commissioning of the programme is not able to detect the error. Please provide a more specific description of the failure cause.</t>
  </si>
  <si>
    <t xml:space="preserve">Dry-dock required for repair. </t>
  </si>
  <si>
    <t>Dry-dock required for repair. Single failure tolerable</t>
  </si>
  <si>
    <t>Fibber optic strain measurement</t>
  </si>
  <si>
    <t>1) Interrogator repairable in-situ
2) Single failure tolerable for strain gauge array requires dry dock repair</t>
  </si>
  <si>
    <t xml:space="preserve">1) Primary PLC torque command
2) Primary PLC cooling command
</t>
  </si>
  <si>
    <t>Over, under or no cooling command</t>
  </si>
  <si>
    <r>
      <t xml:space="preserve">1) Single encoder fail
</t>
    </r>
    <r>
      <rPr>
        <sz val="11"/>
        <color rgb="FFFF0000"/>
        <rFont val="Times New Roman"/>
        <family val="1"/>
      </rPr>
      <t>2) Loss of position feedback</t>
    </r>
  </si>
  <si>
    <t>If redundant encoders then effect on operation of single encoder failure and therefore Severity class would be lower.</t>
  </si>
  <si>
    <t>CP to expand the FMEA using the same failure modes in "single failure", but one lower class of occurrence.
CP to provide reccommended action for mitigation of medium risk level</t>
  </si>
  <si>
    <t>Is this required signal for start of bilge pump?
Severity class to be higher if failure of sensor could lead to water ingress into electrical equipment.</t>
  </si>
  <si>
    <t>Is failure of sensor only for collection of data, i.e. the cooling system runs continuously during operation therefore not relying on start/stop signals resulting from the data collected by these sensors. Failure of cooling system would have higher severity class</t>
  </si>
  <si>
    <t>If loss of PTO control higher consequence?
CP to suggest mitigation actions for loss of control?</t>
  </si>
  <si>
    <t>Occurrence class quite low for corrosion. Manufacturers data to be provided to demonstrate failure rate.
Loss of PTO control and safety functions  should be higher severity class?</t>
  </si>
  <si>
    <r>
      <rPr>
        <strike/>
        <sz val="11"/>
        <color rgb="FFFF0000"/>
        <rFont val="Times New Roman"/>
        <family val="1"/>
      </rPr>
      <t>Manual switch of encoders onboard</t>
    </r>
    <r>
      <rPr>
        <sz val="11"/>
        <color rgb="FFFF0000"/>
        <rFont val="Times New Roman"/>
        <family val="1"/>
      </rPr>
      <t xml:space="preserve">
Programmatically selected encoders from internal system comparison.</t>
    </r>
  </si>
  <si>
    <r>
      <t xml:space="preserve">1) Material selection
2) IP 67
3) Climate Control
</t>
    </r>
    <r>
      <rPr>
        <sz val="11"/>
        <color rgb="FFFF0000"/>
        <rFont val="Times New Roman"/>
        <family val="1"/>
      </rPr>
      <t>4) Redundant encoders</t>
    </r>
    <r>
      <rPr>
        <sz val="11"/>
        <color theme="1"/>
        <rFont val="Times New Roman"/>
        <family val="1"/>
      </rPr>
      <t xml:space="preserve">
</t>
    </r>
  </si>
  <si>
    <r>
      <t xml:space="preserve">1) V&amp;V
</t>
    </r>
    <r>
      <rPr>
        <sz val="11"/>
        <color rgb="FFFF0000"/>
        <rFont val="Times New Roman"/>
        <family val="1"/>
      </rPr>
      <t>2) Redundant encoders</t>
    </r>
  </si>
  <si>
    <r>
      <t xml:space="preserve">1) Thorough cleaning at commissioning
</t>
    </r>
    <r>
      <rPr>
        <sz val="11"/>
        <color rgb="FFFF0000"/>
        <rFont val="Times New Roman"/>
        <family val="1"/>
      </rPr>
      <t>2) Redundant encoders</t>
    </r>
  </si>
  <si>
    <r>
      <rPr>
        <strike/>
        <sz val="11"/>
        <color rgb="FFFF0000"/>
        <rFont val="Times New Roman"/>
        <family val="1"/>
      </rPr>
      <t>Manual switch of encoders onboard</t>
    </r>
    <r>
      <rPr>
        <sz val="11"/>
        <color rgb="FFFF0000"/>
        <rFont val="Times New Roman"/>
        <family val="1"/>
      </rPr>
      <t xml:space="preserve">
Manual correction of software/programming error, onboard or remotely.</t>
    </r>
  </si>
  <si>
    <r>
      <t xml:space="preserve">1) Modal analysis
</t>
    </r>
    <r>
      <rPr>
        <sz val="11"/>
        <color rgb="FFFF0000"/>
        <rFont val="Times New Roman"/>
        <family val="1"/>
      </rPr>
      <t>2) Redundant encoders</t>
    </r>
  </si>
  <si>
    <r>
      <t xml:space="preserve">1) IP 67
</t>
    </r>
    <r>
      <rPr>
        <sz val="11"/>
        <color rgb="FFFF0000"/>
        <rFont val="Times New Roman"/>
        <family val="1"/>
      </rPr>
      <t>2) Redundant encoders</t>
    </r>
  </si>
  <si>
    <r>
      <t xml:space="preserve">Can signals be multiplexed and switched remotely?
</t>
    </r>
    <r>
      <rPr>
        <sz val="11"/>
        <color rgb="FFFF0000"/>
        <rFont val="Times New Roman"/>
        <family val="1"/>
      </rPr>
      <t>- Yes, internal comparison can be performed of all encoders and they can be switched automatically or manually remotely.</t>
    </r>
  </si>
  <si>
    <t xml:space="preserve">Software / programming error during program revision.
</t>
  </si>
  <si>
    <r>
      <t xml:space="preserve">Wiring Issue
</t>
    </r>
    <r>
      <rPr>
        <sz val="11"/>
        <color rgb="FFFF0000"/>
        <rFont val="Times New Roman"/>
        <family val="1"/>
      </rPr>
      <t>- unknown internal fault
- unknown poor solder joint
- wire chaffe due to improper routing</t>
    </r>
  </si>
  <si>
    <t>In agreement with DNVGL comment, this Failure Cause is covered by 410-2,3,5,6 and could be removed.</t>
  </si>
  <si>
    <t>Reduced Severity Class of Operation due to having redundant encoders in design.</t>
  </si>
  <si>
    <t>Reduced Occurrence by 1 level as encoder operation is unlikely to be modified post-deployment and will be fully tested during commissioning and testing.</t>
  </si>
  <si>
    <r>
      <rPr>
        <sz val="11"/>
        <rFont val="Times New Roman"/>
        <family val="1"/>
      </rPr>
      <t>1) Incorrect signal - uncontrolled damping
2) No signal - freewheeling</t>
    </r>
    <r>
      <rPr>
        <sz val="11"/>
        <color rgb="FFFF0000"/>
        <rFont val="Times New Roman"/>
        <family val="1"/>
      </rPr>
      <t xml:space="preserve">
3) Loss of position feedback</t>
    </r>
  </si>
  <si>
    <t>Increase redundancy of encoders to 100% to reduce Occurrence.</t>
  </si>
  <si>
    <r>
      <t xml:space="preserve">Requires 6 encoders for operation of 3 CU320s. 100% redundant encoders which can be swapped </t>
    </r>
    <r>
      <rPr>
        <sz val="11"/>
        <color rgb="FFFF0000"/>
        <rFont val="Times New Roman"/>
        <family val="1"/>
      </rPr>
      <t>programmatically.</t>
    </r>
    <r>
      <rPr>
        <sz val="11"/>
        <color theme="1"/>
        <rFont val="Times New Roman"/>
        <family val="1"/>
      </rPr>
      <t xml:space="preserve">
</t>
    </r>
  </si>
  <si>
    <r>
      <rPr>
        <sz val="11"/>
        <rFont val="Times New Roman"/>
        <family val="1"/>
      </rPr>
      <t>Hardware or wiring failure</t>
    </r>
    <r>
      <rPr>
        <sz val="11"/>
        <color rgb="FFFF0000"/>
        <rFont val="Times New Roman"/>
        <family val="1"/>
      </rPr>
      <t xml:space="preserve">
- corrosion induced
- water induced
- contamination
- vibration</t>
    </r>
  </si>
  <si>
    <t>1) Redundant sensors on separate stators.</t>
  </si>
  <si>
    <t>Dry-dock required for repair. Single failure tolerable.</t>
  </si>
  <si>
    <t>Mechanically safe because available torque is limited the load cell's rating, which is well below the mechanical design limit.</t>
  </si>
  <si>
    <t>1) Mechanically safe because available torque is limited the load cell's rating, which is well below the mechanical design limit.
2) Redundant sensors on separate stators.</t>
  </si>
  <si>
    <t>Electrical short or internal component failure</t>
  </si>
  <si>
    <t>Operation Risk reduced further as loss of sensor data does not affect generator performance. Arranged all failures back to one row as all failures carried the same risk rankings.</t>
  </si>
  <si>
    <t xml:space="preserve">Operation Risk reduced further as loss of sensor data does not affect generator performance. </t>
  </si>
  <si>
    <t>Sensor will be rated for the environment.</t>
  </si>
  <si>
    <t>Marine application
Vibration levels</t>
  </si>
  <si>
    <t>Real time data not used in control.</t>
  </si>
  <si>
    <t>Sensor will be rated for the environment and redundant sensors.</t>
  </si>
  <si>
    <t>Safe (accessible) side of PTO module and redundant sensors rated for the environment.</t>
  </si>
  <si>
    <r>
      <t xml:space="preserve">1) No M2G data
</t>
    </r>
    <r>
      <rPr>
        <sz val="11"/>
        <color rgb="FFFF0000"/>
        <rFont val="Times New Roman"/>
        <family val="1"/>
      </rPr>
      <t>2) PTO goes to default control mode in absence of SCADA communication</t>
    </r>
  </si>
  <si>
    <t>PTO goes to default control mode in absence of SCADA communication</t>
  </si>
  <si>
    <t>Power supply will be rated for the environment. All failure causes fall into the same risk rankings and so kept in one Risk ID.</t>
  </si>
  <si>
    <t>Power supply failure
- corrosion induced
- vibration or motion induced
- water induced</t>
  </si>
  <si>
    <t>1) No SCADA data
2) PTO goes to defaul control mode
3) Cooling controlers go to default control mode</t>
  </si>
  <si>
    <t>1) Power supply Redundancy
2) Functional redundancy of SCADA components
3) Individual controllers have default modes of operation in absense of SCADA comm.</t>
  </si>
  <si>
    <t>Load cells and cabling will be rated for the environment.</t>
  </si>
  <si>
    <t>1) Redundancy
2) Mechanical safety bypass of load cell</t>
  </si>
  <si>
    <t>1) Modal analysis
2) Redundant SCADA controllers
3) PTO goes to default control mode in absence of SCADA communication</t>
  </si>
  <si>
    <t>1) Marine rated corrosion resistance design
2) Redundant SCADA controllers
3) PTO goes to default control mode in absence of SCADA communication</t>
  </si>
  <si>
    <t>1) V&amp;V (QC)
2) Redundant SCADA controllers
3) PTO goes to default control mode in absence of SCADA communication</t>
  </si>
  <si>
    <t xml:space="preserve">1) Marine rated corrosion resistant design
2) Sealed enclosure
3) PTO goes to default control mode in absence of SCADA communication
</t>
  </si>
  <si>
    <t>Individual controllers have default modes of operation in absense of SCADA comm.</t>
  </si>
  <si>
    <t>- 'set up' and 'linkedPage' are both linked to workbook 'FMECA Master v3.xlsx'</t>
  </si>
  <si>
    <t>- changes to the tables, risk scores, etc must be made in 'FMECA Master v3.xlsx'</t>
  </si>
  <si>
    <t>3.0</t>
  </si>
  <si>
    <t>Updated risk matrix, updated for WEC v3.3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</si>
</sst>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5"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1"/>
      <color rgb="FFFF0000"/>
      <name val="Times New Roman"/>
      <family val="1"/>
    </font>
    <font>
      <strike/>
      <sz val="11"/>
      <name val="Times New Roman"/>
      <family val="1"/>
    </font>
    <font>
      <strike/>
      <sz val="11"/>
      <color rgb="FFFF0000"/>
      <name val="Times New Roman"/>
      <family val="1"/>
    </font>
    <font>
      <b/>
      <sz val="12"/>
      <color rgb="FFFF0000"/>
      <name val="Times New Roman"/>
      <family val="1"/>
    </font>
    <font>
      <b/>
      <sz val="12"/>
      <name val="Times New Roman"/>
      <family val="1"/>
    </font>
  </fonts>
  <fills count="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0"/>
        <bgColor indexed="64"/>
      </patternFill>
    </fill>
    <fill>
      <patternFill patternType="solid">
        <fgColor rgb="FF99D6F0"/>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43" fontId="12" fillId="0" borderId="0" applyFont="0" applyFill="0" applyBorder="0" applyAlignment="0" applyProtection="0"/>
  </cellStyleXfs>
  <cellXfs count="195">
    <xf numFmtId="0" fontId="0" fillId="0" borderId="0" xfId="0"/>
    <xf numFmtId="0" fontId="2" fillId="0" borderId="1" xfId="0" applyFont="1" applyFill="1" applyBorder="1" applyAlignment="1">
      <alignment horizontal="center" vertical="top" wrapText="1"/>
    </xf>
    <xf numFmtId="0" fontId="1" fillId="0" borderId="16" xfId="0" applyFont="1" applyFill="1" applyBorder="1" applyAlignment="1">
      <alignment horizontal="center" vertical="center"/>
    </xf>
    <xf numFmtId="0" fontId="1" fillId="0" borderId="15" xfId="0" applyFont="1" applyFill="1" applyBorder="1" applyAlignment="1">
      <alignment horizontal="center" vertical="center"/>
    </xf>
    <xf numFmtId="0" fontId="6" fillId="0" borderId="10" xfId="0" applyFont="1" applyBorder="1" applyAlignment="1">
      <alignment horizontal="center" vertical="center" wrapText="1"/>
    </xf>
    <xf numFmtId="0" fontId="1" fillId="0" borderId="14" xfId="0" applyFont="1" applyFill="1" applyBorder="1" applyAlignment="1">
      <alignment horizontal="center" vertical="center"/>
    </xf>
    <xf numFmtId="0" fontId="2" fillId="0" borderId="17" xfId="0" applyFont="1" applyFill="1" applyBorder="1" applyAlignment="1">
      <alignment vertical="top" wrapText="1"/>
    </xf>
    <xf numFmtId="0" fontId="6" fillId="0" borderId="14"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7" xfId="0" applyFont="1" applyFill="1" applyBorder="1" applyAlignment="1">
      <alignment horizontal="center" vertical="center"/>
    </xf>
    <xf numFmtId="0" fontId="6" fillId="0" borderId="15" xfId="0" applyFont="1" applyBorder="1" applyAlignment="1">
      <alignment horizontal="center" vertical="center" wrapText="1"/>
    </xf>
    <xf numFmtId="0" fontId="5" fillId="0" borderId="6" xfId="0" applyFont="1" applyFill="1" applyBorder="1" applyAlignment="1">
      <alignment horizontal="center" vertical="top" wrapText="1"/>
    </xf>
    <xf numFmtId="0" fontId="6" fillId="0" borderId="7" xfId="0" applyFont="1" applyBorder="1" applyAlignment="1">
      <alignment horizontal="center" vertical="center" wrapText="1"/>
    </xf>
    <xf numFmtId="0" fontId="1" fillId="0" borderId="10" xfId="0" applyFont="1" applyFill="1" applyBorder="1" applyAlignment="1">
      <alignment horizontal="center" vertical="center"/>
    </xf>
    <xf numFmtId="0" fontId="6" fillId="0" borderId="16" xfId="0" applyFont="1" applyBorder="1" applyAlignment="1">
      <alignment horizontal="center" vertical="center" wrapText="1"/>
    </xf>
    <xf numFmtId="0" fontId="1" fillId="0" borderId="13" xfId="0" applyFont="1" applyFill="1" applyBorder="1" applyAlignment="1">
      <alignment horizontal="center"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6" xfId="0" applyFont="1" applyBorder="1" applyAlignment="1">
      <alignment vertical="top" wrapText="1"/>
    </xf>
    <xf numFmtId="0" fontId="6" fillId="0" borderId="6" xfId="0" applyFont="1" applyBorder="1" applyAlignment="1">
      <alignment horizontal="center" vertical="center" wrapText="1"/>
    </xf>
    <xf numFmtId="0" fontId="5" fillId="0" borderId="6"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7" xfId="0" applyFont="1" applyBorder="1" applyAlignment="1">
      <alignment horizontal="left"/>
    </xf>
    <xf numFmtId="14" fontId="0" fillId="0" borderId="7" xfId="0" applyNumberFormat="1" applyBorder="1" applyAlignment="1">
      <alignment horizontal="left"/>
    </xf>
    <xf numFmtId="0" fontId="0" fillId="0" borderId="7" xfId="0" applyBorder="1"/>
    <xf numFmtId="0" fontId="9" fillId="0" borderId="0" xfId="0" applyFont="1"/>
    <xf numFmtId="0" fontId="2" fillId="0" borderId="1" xfId="0" applyFont="1" applyFill="1" applyBorder="1" applyAlignment="1">
      <alignment vertical="top" wrapText="1"/>
    </xf>
    <xf numFmtId="0" fontId="5" fillId="0" borderId="6"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6" fillId="0" borderId="18"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1" xfId="0" applyFont="1" applyBorder="1" applyAlignment="1">
      <alignment vertical="top" wrapText="1"/>
    </xf>
    <xf numFmtId="0" fontId="17" fillId="0" borderId="7"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3"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1"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7" xfId="0" applyFont="1" applyBorder="1" applyAlignment="1">
      <alignment horizontal="center"/>
    </xf>
    <xf numFmtId="168" fontId="16" fillId="0" borderId="18" xfId="0" applyNumberFormat="1" applyFont="1" applyBorder="1" applyAlignment="1">
      <alignment horizontal="center" vertical="center"/>
    </xf>
    <xf numFmtId="168" fontId="16" fillId="0" borderId="13" xfId="0" applyNumberFormat="1" applyFont="1" applyBorder="1" applyAlignment="1">
      <alignment horizontal="center" vertical="center"/>
    </xf>
    <xf numFmtId="167" fontId="16" fillId="0" borderId="13" xfId="0" applyNumberFormat="1" applyFont="1" applyBorder="1" applyAlignment="1">
      <alignment horizontal="center" vertical="center"/>
    </xf>
    <xf numFmtId="165" fontId="16" fillId="0" borderId="13" xfId="0" applyNumberFormat="1" applyFont="1" applyBorder="1" applyAlignment="1">
      <alignment horizontal="center" vertical="center"/>
    </xf>
    <xf numFmtId="164" fontId="16" fillId="0" borderId="13" xfId="0" applyNumberFormat="1" applyFont="1" applyBorder="1" applyAlignment="1">
      <alignment horizontal="center" vertical="center"/>
    </xf>
    <xf numFmtId="166" fontId="16" fillId="0" borderId="13" xfId="0" applyNumberFormat="1" applyFont="1" applyBorder="1" applyAlignment="1">
      <alignment horizontal="center" vertical="center"/>
    </xf>
    <xf numFmtId="166" fontId="16" fillId="0" borderId="14" xfId="0" applyNumberFormat="1" applyFont="1" applyBorder="1" applyAlignment="1">
      <alignment horizontal="center" vertical="center"/>
    </xf>
    <xf numFmtId="0" fontId="16" fillId="0" borderId="25" xfId="0" applyFont="1" applyBorder="1" applyAlignment="1">
      <alignment horizontal="center" vertical="center" wrapText="1"/>
    </xf>
    <xf numFmtId="0" fontId="3" fillId="0" borderId="20" xfId="0" applyFont="1" applyBorder="1" applyAlignment="1">
      <alignment vertical="center" textRotation="90" wrapText="1"/>
    </xf>
    <xf numFmtId="0" fontId="3" fillId="0" borderId="21" xfId="0" applyFont="1" applyBorder="1" applyAlignment="1">
      <alignment vertical="center" textRotation="90" wrapText="1"/>
    </xf>
    <xf numFmtId="0" fontId="3" fillId="0" borderId="22" xfId="0" applyFont="1" applyBorder="1" applyAlignment="1">
      <alignment vertical="center" textRotation="90" wrapText="1"/>
    </xf>
    <xf numFmtId="3" fontId="16" fillId="0" borderId="19" xfId="1" applyNumberFormat="1" applyFont="1" applyBorder="1" applyAlignment="1">
      <alignment horizontal="center" vertical="center"/>
    </xf>
    <xf numFmtId="3" fontId="16" fillId="0" borderId="10" xfId="1" applyNumberFormat="1" applyFont="1" applyBorder="1" applyAlignment="1">
      <alignment horizontal="center" vertical="center"/>
    </xf>
    <xf numFmtId="3" fontId="16" fillId="0" borderId="16"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0" xfId="0" applyFont="1" applyBorder="1" applyAlignment="1">
      <alignment horizontal="center" wrapText="1"/>
    </xf>
    <xf numFmtId="0" fontId="18" fillId="0" borderId="22" xfId="0" applyFont="1" applyBorder="1" applyAlignment="1">
      <alignment horizontal="center" wrapText="1"/>
    </xf>
    <xf numFmtId="0" fontId="18" fillId="0" borderId="28" xfId="0" applyFont="1" applyBorder="1" applyAlignment="1">
      <alignment horizontal="center"/>
    </xf>
    <xf numFmtId="0" fontId="18" fillId="0" borderId="29" xfId="0" applyFont="1" applyBorder="1" applyAlignment="1">
      <alignment horizontal="center" wrapText="1"/>
    </xf>
    <xf numFmtId="0" fontId="18" fillId="0" borderId="7" xfId="0" applyFont="1" applyBorder="1" applyAlignment="1">
      <alignment horizontal="center"/>
    </xf>
    <xf numFmtId="0" fontId="0" fillId="0" borderId="0" xfId="0" quotePrefix="1"/>
    <xf numFmtId="49" fontId="2" fillId="0" borderId="1" xfId="0" applyNumberFormat="1" applyFont="1" applyFill="1" applyBorder="1" applyAlignment="1">
      <alignment horizontal="center" vertical="top" wrapText="1"/>
    </xf>
    <xf numFmtId="0" fontId="4" fillId="0" borderId="0" xfId="0" applyFont="1" applyAlignment="1">
      <alignment horizontal="center" vertical="center"/>
    </xf>
    <xf numFmtId="0" fontId="7" fillId="0" borderId="0" xfId="0" applyFont="1" applyAlignment="1">
      <alignment horizontal="left"/>
    </xf>
    <xf numFmtId="0" fontId="2" fillId="6" borderId="1" xfId="0" applyFont="1" applyFill="1" applyBorder="1" applyAlignment="1">
      <alignment vertical="top" wrapText="1"/>
    </xf>
    <xf numFmtId="0" fontId="17" fillId="6" borderId="7" xfId="0" applyFont="1" applyFill="1" applyBorder="1" applyAlignment="1">
      <alignment horizontal="left" vertical="top" wrapText="1"/>
    </xf>
    <xf numFmtId="0" fontId="2" fillId="6" borderId="1" xfId="0" applyFont="1" applyFill="1" applyBorder="1" applyAlignment="1">
      <alignment horizontal="center" vertical="top" wrapText="1"/>
    </xf>
    <xf numFmtId="0" fontId="6" fillId="6" borderId="1"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6" borderId="7"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1" fillId="6" borderId="13" xfId="0" applyFont="1" applyFill="1" applyBorder="1" applyAlignment="1">
      <alignment horizontal="center" vertical="center"/>
    </xf>
    <xf numFmtId="0" fontId="1" fillId="6" borderId="7" xfId="0" applyFont="1" applyFill="1" applyBorder="1" applyAlignment="1">
      <alignment horizontal="center" vertical="center"/>
    </xf>
    <xf numFmtId="0" fontId="1" fillId="6" borderId="10" xfId="0" applyFont="1" applyFill="1" applyBorder="1" applyAlignment="1">
      <alignment horizontal="center" vertical="center"/>
    </xf>
    <xf numFmtId="0" fontId="2" fillId="6" borderId="1" xfId="0" applyFont="1" applyFill="1" applyBorder="1" applyAlignment="1">
      <alignment horizontal="left" vertical="top" wrapText="1"/>
    </xf>
    <xf numFmtId="0" fontId="2" fillId="6"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7" xfId="0" applyFont="1" applyFill="1" applyBorder="1" applyAlignment="1">
      <alignment horizontal="center" vertical="center" wrapText="1"/>
    </xf>
    <xf numFmtId="0" fontId="6" fillId="0" borderId="10" xfId="0" applyFont="1" applyFill="1" applyBorder="1" applyAlignment="1">
      <alignment horizontal="center" vertical="center" wrapText="1"/>
    </xf>
    <xf numFmtId="0" fontId="0" fillId="0" borderId="7" xfId="0" applyBorder="1" applyAlignment="1">
      <alignment horizontal="left"/>
    </xf>
    <xf numFmtId="0" fontId="0" fillId="0" borderId="7" xfId="0" quotePrefix="1" applyBorder="1" applyAlignment="1">
      <alignment horizontal="left"/>
    </xf>
    <xf numFmtId="49" fontId="2" fillId="7" borderId="1" xfId="0" applyNumberFormat="1" applyFont="1" applyFill="1" applyBorder="1" applyAlignment="1">
      <alignment horizontal="center" vertical="top" wrapText="1"/>
    </xf>
    <xf numFmtId="0" fontId="2" fillId="0" borderId="1" xfId="0" applyFont="1" applyFill="1" applyBorder="1" applyAlignment="1">
      <alignment horizontal="left" vertical="top" wrapText="1"/>
    </xf>
    <xf numFmtId="0" fontId="2" fillId="0" borderId="1" xfId="0" applyFont="1" applyFill="1" applyBorder="1" applyAlignment="1">
      <alignment horizontal="center" vertical="center" wrapText="1"/>
    </xf>
    <xf numFmtId="49" fontId="2" fillId="6" borderId="1" xfId="0" applyNumberFormat="1" applyFont="1" applyFill="1" applyBorder="1" applyAlignment="1">
      <alignment horizontal="center" vertical="top" wrapText="1"/>
    </xf>
    <xf numFmtId="0" fontId="0" fillId="6" borderId="0" xfId="0" applyFill="1" applyAlignment="1">
      <alignment wrapText="1"/>
    </xf>
    <xf numFmtId="0" fontId="17" fillId="6" borderId="35" xfId="0" applyFont="1" applyFill="1" applyBorder="1" applyAlignment="1">
      <alignment horizontal="left" vertical="top" wrapText="1"/>
    </xf>
    <xf numFmtId="0" fontId="20" fillId="6" borderId="1" xfId="0" applyFont="1" applyFill="1" applyBorder="1" applyAlignment="1">
      <alignment vertical="top" wrapText="1"/>
    </xf>
    <xf numFmtId="0" fontId="20" fillId="6" borderId="1" xfId="0" applyFont="1" applyFill="1" applyBorder="1" applyAlignment="1">
      <alignment horizontal="center" vertical="top" wrapText="1"/>
    </xf>
    <xf numFmtId="0" fontId="20" fillId="0" borderId="1" xfId="0" applyFont="1" applyFill="1" applyBorder="1" applyAlignment="1">
      <alignment horizontal="center" vertical="top" wrapText="1"/>
    </xf>
    <xf numFmtId="0" fontId="20" fillId="0" borderId="1" xfId="0" applyFont="1" applyFill="1" applyBorder="1" applyAlignment="1">
      <alignment vertical="top" wrapText="1"/>
    </xf>
    <xf numFmtId="0" fontId="17" fillId="6" borderId="1" xfId="0" applyFont="1" applyFill="1" applyBorder="1" applyAlignment="1">
      <alignment horizontal="center" vertical="top" wrapText="1"/>
    </xf>
    <xf numFmtId="0" fontId="17" fillId="6" borderId="1" xfId="0" applyFont="1" applyFill="1" applyBorder="1" applyAlignment="1">
      <alignment vertical="top" wrapText="1"/>
    </xf>
    <xf numFmtId="0" fontId="17" fillId="0" borderId="1" xfId="0" applyFont="1" applyFill="1" applyBorder="1" applyAlignment="1">
      <alignment horizontal="center" vertical="top" wrapText="1"/>
    </xf>
    <xf numFmtId="0" fontId="17" fillId="0" borderId="1" xfId="0" applyFont="1" applyFill="1" applyBorder="1" applyAlignment="1">
      <alignment vertical="top" wrapText="1"/>
    </xf>
    <xf numFmtId="0" fontId="2" fillId="8" borderId="1" xfId="0" applyFont="1" applyFill="1" applyBorder="1" applyAlignment="1">
      <alignment vertical="top" wrapText="1"/>
    </xf>
    <xf numFmtId="0" fontId="20" fillId="8" borderId="1" xfId="0" applyFont="1" applyFill="1" applyBorder="1" applyAlignment="1">
      <alignment vertical="top" wrapText="1"/>
    </xf>
    <xf numFmtId="0" fontId="23" fillId="8" borderId="7" xfId="0" applyFont="1" applyFill="1" applyBorder="1" applyAlignment="1">
      <alignment horizontal="center" vertical="center" wrapText="1"/>
    </xf>
    <xf numFmtId="0" fontId="24" fillId="0" borderId="7" xfId="0" applyFont="1" applyFill="1" applyBorder="1" applyAlignment="1">
      <alignment horizontal="center" vertical="center" wrapText="1"/>
    </xf>
    <xf numFmtId="0" fontId="23" fillId="8" borderId="1" xfId="0" applyFont="1" applyFill="1" applyBorder="1" applyAlignment="1">
      <alignment horizontal="center" vertical="center" wrapText="1"/>
    </xf>
    <xf numFmtId="0" fontId="20" fillId="8" borderId="1" xfId="0" applyFont="1" applyFill="1" applyBorder="1" applyAlignment="1">
      <alignment horizontal="left" vertical="top" wrapText="1"/>
    </xf>
    <xf numFmtId="0" fontId="23" fillId="8" borderId="10"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20" fillId="8" borderId="1" xfId="0" applyFont="1" applyFill="1" applyBorder="1" applyAlignment="1">
      <alignment horizontal="center" vertical="top" wrapText="1"/>
    </xf>
    <xf numFmtId="0" fontId="0" fillId="0" borderId="7" xfId="0" quotePrefix="1" applyBorder="1"/>
    <xf numFmtId="0" fontId="20" fillId="8" borderId="36" xfId="0" applyFont="1" applyFill="1" applyBorder="1" applyAlignment="1">
      <alignment horizontal="left" vertical="top" wrapText="1"/>
    </xf>
    <xf numFmtId="0" fontId="2" fillId="0" borderId="36" xfId="0" applyFont="1" applyFill="1" applyBorder="1" applyAlignment="1">
      <alignment horizontal="left" vertical="top" wrapText="1"/>
    </xf>
    <xf numFmtId="0" fontId="2" fillId="6" borderId="36" xfId="0" applyFont="1" applyFill="1" applyBorder="1" applyAlignment="1">
      <alignment horizontal="left" vertical="top" wrapText="1"/>
    </xf>
    <xf numFmtId="0" fontId="2" fillId="0" borderId="36" xfId="0" applyFont="1" applyBorder="1" applyAlignment="1">
      <alignment horizontal="left" vertical="top" wrapText="1"/>
    </xf>
    <xf numFmtId="0" fontId="5" fillId="0" borderId="37" xfId="0" applyFont="1" applyBorder="1" applyAlignment="1">
      <alignment horizontal="left" vertical="top" wrapText="1"/>
    </xf>
    <xf numFmtId="0" fontId="0" fillId="0" borderId="7" xfId="0" applyBorder="1" applyAlignment="1">
      <alignment wrapText="1"/>
    </xf>
    <xf numFmtId="0" fontId="2" fillId="8" borderId="36" xfId="0" applyFont="1" applyFill="1" applyBorder="1" applyAlignment="1">
      <alignment horizontal="left" vertical="top" wrapText="1"/>
    </xf>
    <xf numFmtId="0" fontId="3" fillId="8" borderId="38" xfId="0" applyFont="1" applyFill="1" applyBorder="1" applyAlignment="1">
      <alignment horizontal="center" vertical="center" wrapText="1"/>
    </xf>
    <xf numFmtId="0" fontId="2" fillId="0" borderId="7" xfId="0" applyFont="1" applyBorder="1" applyAlignment="1">
      <alignment horizontal="left" vertical="top" wrapText="1"/>
    </xf>
    <xf numFmtId="0" fontId="0" fillId="0" borderId="7" xfId="0" applyFill="1" applyBorder="1" applyAlignment="1">
      <alignment wrapText="1"/>
    </xf>
    <xf numFmtId="0" fontId="11" fillId="0" borderId="0" xfId="0" applyFont="1" applyAlignment="1">
      <alignment horizont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4" xfId="0" applyFont="1" applyFill="1" applyBorder="1" applyAlignment="1">
      <alignment horizontal="center" vertical="center"/>
    </xf>
    <xf numFmtId="0" fontId="0" fillId="0" borderId="9" xfId="0" applyBorder="1" applyAlignment="1">
      <alignment horizontal="center"/>
    </xf>
    <xf numFmtId="0" fontId="0" fillId="0" borderId="8" xfId="0" applyBorder="1" applyAlignment="1">
      <alignment horizontal="center"/>
    </xf>
    <xf numFmtId="0" fontId="0" fillId="0" borderId="7" xfId="0" applyBorder="1" applyAlignment="1">
      <alignment horizontal="left"/>
    </xf>
    <xf numFmtId="0" fontId="0" fillId="0" borderId="7" xfId="0" quotePrefix="1" applyBorder="1" applyAlignment="1">
      <alignment horizontal="left"/>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5" borderId="26" xfId="0" applyFont="1" applyFill="1" applyBorder="1" applyAlignment="1">
      <alignment horizontal="center" vertical="center" wrapText="1"/>
    </xf>
    <xf numFmtId="0" fontId="16" fillId="5" borderId="25" xfId="0" applyFont="1" applyFill="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16" fillId="0" borderId="10" xfId="0" applyFont="1" applyBorder="1" applyAlignment="1">
      <alignment horizontal="center" vertical="center" wrapText="1"/>
    </xf>
    <xf numFmtId="0" fontId="16" fillId="5" borderId="14" xfId="0" applyFont="1" applyFill="1" applyBorder="1" applyAlignment="1">
      <alignment horizontal="center" vertical="center" wrapText="1"/>
    </xf>
    <xf numFmtId="0" fontId="16" fillId="5" borderId="16" xfId="0" applyFont="1" applyFill="1" applyBorder="1" applyAlignment="1">
      <alignment horizontal="center" vertical="center" wrapText="1"/>
    </xf>
    <xf numFmtId="0" fontId="16" fillId="0" borderId="9" xfId="0" applyFont="1" applyFill="1" applyBorder="1" applyAlignment="1">
      <alignment horizontal="center" vertical="center" wrapText="1"/>
    </xf>
    <xf numFmtId="0" fontId="16" fillId="0" borderId="33" xfId="0" applyFont="1" applyFill="1" applyBorder="1" applyAlignment="1">
      <alignment horizontal="center" vertical="center" wrapText="1"/>
    </xf>
    <xf numFmtId="0" fontId="16" fillId="0" borderId="25" xfId="0" applyFont="1" applyFill="1" applyBorder="1" applyAlignment="1">
      <alignment horizontal="center" vertical="center" wrapText="1"/>
    </xf>
    <xf numFmtId="0" fontId="16" fillId="0" borderId="34" xfId="0" applyFont="1" applyFill="1" applyBorder="1" applyAlignment="1">
      <alignment horizontal="center" vertical="center" wrapText="1"/>
    </xf>
    <xf numFmtId="0" fontId="16" fillId="0" borderId="14" xfId="0" applyFont="1" applyBorder="1" applyAlignment="1">
      <alignment horizontal="center" vertical="center" wrapText="1"/>
    </xf>
    <xf numFmtId="0" fontId="16" fillId="0" borderId="25" xfId="0" applyFont="1" applyBorder="1" applyAlignment="1">
      <alignment horizontal="center" vertical="center" wrapText="1"/>
    </xf>
    <xf numFmtId="0" fontId="18" fillId="0" borderId="31" xfId="0" applyFont="1" applyBorder="1" applyAlignment="1">
      <alignment horizontal="center" wrapText="1"/>
    </xf>
    <xf numFmtId="0" fontId="18" fillId="0" borderId="29" xfId="0" applyFont="1" applyBorder="1" applyAlignment="1">
      <alignment horizontal="center" wrapText="1"/>
    </xf>
    <xf numFmtId="0" fontId="18" fillId="0" borderId="27"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8" fillId="0" borderId="28" xfId="0" applyFont="1" applyBorder="1" applyAlignment="1">
      <alignment horizontal="center" wrapText="1"/>
    </xf>
    <xf numFmtId="0" fontId="18" fillId="0" borderId="30" xfId="0" applyFont="1" applyBorder="1" applyAlignment="1">
      <alignment horizontal="center" wrapText="1"/>
    </xf>
    <xf numFmtId="0" fontId="18" fillId="0" borderId="7" xfId="0" applyFont="1" applyBorder="1" applyAlignment="1">
      <alignment horizontal="center"/>
    </xf>
    <xf numFmtId="0" fontId="18" fillId="0" borderId="0" xfId="0" applyFont="1" applyAlignment="1">
      <alignment horizontal="center"/>
    </xf>
    <xf numFmtId="0" fontId="16" fillId="0" borderId="23" xfId="0" applyFont="1" applyFill="1" applyBorder="1" applyAlignment="1">
      <alignment horizontal="center" vertical="center" wrapText="1"/>
    </xf>
    <xf numFmtId="0" fontId="16" fillId="0" borderId="32"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78">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99D6F0"/>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88ECAF5A-C0EE-46FB-BA60-5B64EA810AE4}"/>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38"/>
  </cols>
  <sheetData>
    <row r="1" spans="7:7" x14ac:dyDescent="0.25">
      <c r="G1" s="19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X75"/>
  <sheetViews>
    <sheetView showZeros="0" zoomScale="90" zoomScaleNormal="90" zoomScaleSheetLayoutView="50" workbookViewId="0">
      <pane xSplit="9" ySplit="5" topLeftCell="J6" activePane="bottomRight" state="frozen"/>
      <selection pane="topRight" activeCell="J1" sqref="J1"/>
      <selection pane="bottomLeft" activeCell="A6" sqref="A6"/>
      <selection pane="bottomRight" activeCell="X7" sqref="X7"/>
    </sheetView>
  </sheetViews>
  <sheetFormatPr defaultColWidth="9.140625" defaultRowHeight="15" x14ac:dyDescent="0.25"/>
  <cols>
    <col min="1" max="1" width="1.7109375" style="18" customWidth="1"/>
    <col min="2" max="2" width="9.140625" style="19" customWidth="1"/>
    <col min="3" max="3" width="22.28515625" style="18" customWidth="1"/>
    <col min="4" max="4" width="29.7109375" style="18" customWidth="1"/>
    <col min="5" max="5" width="7.85546875" style="18" customWidth="1"/>
    <col min="6" max="7" width="15.7109375" style="18" customWidth="1"/>
    <col min="8" max="9" width="26.85546875" style="18" customWidth="1"/>
    <col min="10" max="10" width="15" style="18" customWidth="1"/>
    <col min="11" max="14" width="26.85546875" style="18" customWidth="1"/>
    <col min="15" max="15" width="4.85546875" style="18" customWidth="1"/>
    <col min="16" max="19" width="4.85546875" style="19" customWidth="1"/>
    <col min="20" max="23" width="4.85546875" style="18" customWidth="1"/>
    <col min="24" max="24" width="33.5703125" style="18" customWidth="1"/>
    <col min="25" max="25" width="15" style="18" hidden="1" customWidth="1"/>
    <col min="26" max="26" width="25.7109375" style="18" hidden="1" customWidth="1"/>
    <col min="27" max="27" width="4.85546875" style="18" hidden="1" customWidth="1"/>
    <col min="28" max="31" width="4.85546875" style="19" hidden="1" customWidth="1"/>
    <col min="32" max="35" width="4.85546875" style="18" hidden="1" customWidth="1"/>
    <col min="36" max="36" width="33.5703125" style="18" hidden="1" customWidth="1"/>
    <col min="37" max="37" width="15" style="18" hidden="1" customWidth="1"/>
    <col min="38" max="38" width="25.7109375" style="18" hidden="1" customWidth="1"/>
    <col min="39" max="39" width="4.85546875" style="18" hidden="1" customWidth="1"/>
    <col min="40" max="43" width="4.85546875" style="19" hidden="1" customWidth="1"/>
    <col min="44" max="47" width="4.85546875" style="18" hidden="1" customWidth="1"/>
    <col min="48" max="48" width="10" style="18" hidden="1" customWidth="1"/>
    <col min="49" max="49" width="29" style="18" customWidth="1"/>
    <col min="50" max="50" width="42.140625" style="18" customWidth="1"/>
    <col min="51" max="16384" width="9.140625" style="18"/>
  </cols>
  <sheetData>
    <row r="1" spans="1:50" ht="12" customHeight="1" x14ac:dyDescent="0.25"/>
    <row r="2" spans="1:50" ht="15" customHeight="1" x14ac:dyDescent="0.25">
      <c r="O2" s="153" t="s">
        <v>23</v>
      </c>
      <c r="P2" s="153"/>
      <c r="Q2" s="153"/>
      <c r="R2" s="153"/>
      <c r="S2" s="153"/>
      <c r="T2" s="153"/>
      <c r="U2" s="153"/>
      <c r="V2" s="153"/>
      <c r="W2" s="153"/>
      <c r="AA2" s="153" t="s">
        <v>22</v>
      </c>
      <c r="AB2" s="153"/>
      <c r="AC2" s="153"/>
      <c r="AD2" s="153"/>
      <c r="AE2" s="153"/>
      <c r="AF2" s="153"/>
      <c r="AG2" s="153"/>
      <c r="AH2" s="153"/>
      <c r="AI2" s="153"/>
      <c r="AM2" s="153" t="s">
        <v>36</v>
      </c>
      <c r="AN2" s="153"/>
      <c r="AO2" s="153"/>
      <c r="AP2" s="153"/>
      <c r="AQ2" s="153"/>
      <c r="AR2" s="153"/>
      <c r="AS2" s="153"/>
      <c r="AT2" s="153"/>
      <c r="AU2" s="153"/>
    </row>
    <row r="3" spans="1:50" ht="15.75" customHeight="1" thickBot="1" x14ac:dyDescent="0.3">
      <c r="O3" s="153"/>
      <c r="P3" s="153"/>
      <c r="Q3" s="153"/>
      <c r="R3" s="153"/>
      <c r="S3" s="153"/>
      <c r="T3" s="153"/>
      <c r="U3" s="153"/>
      <c r="V3" s="153"/>
      <c r="W3" s="153"/>
      <c r="AA3" s="153"/>
      <c r="AB3" s="153"/>
      <c r="AC3" s="153"/>
      <c r="AD3" s="153"/>
      <c r="AE3" s="153"/>
      <c r="AF3" s="153"/>
      <c r="AG3" s="153"/>
      <c r="AH3" s="153"/>
      <c r="AI3" s="153"/>
      <c r="AM3" s="153"/>
      <c r="AN3" s="153"/>
      <c r="AO3" s="153"/>
      <c r="AP3" s="153"/>
      <c r="AQ3" s="153"/>
      <c r="AR3" s="153"/>
      <c r="AS3" s="153"/>
      <c r="AT3" s="153"/>
      <c r="AU3" s="153"/>
    </row>
    <row r="4" spans="1:50" ht="27" customHeight="1" thickBot="1" x14ac:dyDescent="0.4">
      <c r="B4" s="100" t="s">
        <v>44</v>
      </c>
      <c r="C4" s="22"/>
      <c r="P4" s="154" t="s">
        <v>28</v>
      </c>
      <c r="Q4" s="155"/>
      <c r="R4" s="155"/>
      <c r="S4" s="156"/>
      <c r="T4" s="157" t="s">
        <v>29</v>
      </c>
      <c r="U4" s="158"/>
      <c r="V4" s="158"/>
      <c r="W4" s="159"/>
      <c r="AB4" s="154" t="s">
        <v>28</v>
      </c>
      <c r="AC4" s="155"/>
      <c r="AD4" s="155"/>
      <c r="AE4" s="156"/>
      <c r="AF4" s="157" t="s">
        <v>29</v>
      </c>
      <c r="AG4" s="158"/>
      <c r="AH4" s="158"/>
      <c r="AI4" s="159"/>
      <c r="AN4" s="154" t="s">
        <v>28</v>
      </c>
      <c r="AO4" s="155"/>
      <c r="AP4" s="155"/>
      <c r="AQ4" s="156"/>
      <c r="AR4" s="157" t="s">
        <v>29</v>
      </c>
      <c r="AS4" s="158"/>
      <c r="AT4" s="158"/>
      <c r="AU4" s="159"/>
    </row>
    <row r="5" spans="1:50" s="20" customFormat="1" ht="80.25" customHeight="1" thickBot="1" x14ac:dyDescent="0.3">
      <c r="B5" s="17" t="s">
        <v>30</v>
      </c>
      <c r="C5" s="17" t="s">
        <v>2</v>
      </c>
      <c r="D5" s="17" t="s">
        <v>1</v>
      </c>
      <c r="E5" s="17" t="s">
        <v>43</v>
      </c>
      <c r="F5" s="17" t="s">
        <v>18</v>
      </c>
      <c r="G5" s="17" t="s">
        <v>3</v>
      </c>
      <c r="H5" s="17" t="s">
        <v>5</v>
      </c>
      <c r="I5" s="30" t="s">
        <v>11</v>
      </c>
      <c r="J5" s="17" t="s">
        <v>8</v>
      </c>
      <c r="K5" s="17" t="s">
        <v>7</v>
      </c>
      <c r="L5" s="17" t="s">
        <v>19</v>
      </c>
      <c r="M5" s="17" t="s">
        <v>20</v>
      </c>
      <c r="N5" s="17" t="s">
        <v>9</v>
      </c>
      <c r="O5" s="16" t="s">
        <v>26</v>
      </c>
      <c r="P5" s="83" t="s">
        <v>31</v>
      </c>
      <c r="Q5" s="84" t="s">
        <v>27</v>
      </c>
      <c r="R5" s="84" t="s">
        <v>24</v>
      </c>
      <c r="S5" s="85" t="s">
        <v>25</v>
      </c>
      <c r="T5" s="83" t="s">
        <v>31</v>
      </c>
      <c r="U5" s="84" t="s">
        <v>27</v>
      </c>
      <c r="V5" s="84" t="s">
        <v>24</v>
      </c>
      <c r="W5" s="85" t="s">
        <v>25</v>
      </c>
      <c r="X5" s="17" t="s">
        <v>4</v>
      </c>
      <c r="Y5" s="17" t="s">
        <v>21</v>
      </c>
      <c r="Z5" s="17" t="s">
        <v>35</v>
      </c>
      <c r="AA5" s="16" t="s">
        <v>26</v>
      </c>
      <c r="AB5" s="83" t="s">
        <v>31</v>
      </c>
      <c r="AC5" s="84" t="s">
        <v>27</v>
      </c>
      <c r="AD5" s="84" t="s">
        <v>24</v>
      </c>
      <c r="AE5" s="85" t="s">
        <v>25</v>
      </c>
      <c r="AF5" s="83" t="s">
        <v>31</v>
      </c>
      <c r="AG5" s="84" t="s">
        <v>27</v>
      </c>
      <c r="AH5" s="84" t="s">
        <v>24</v>
      </c>
      <c r="AI5" s="85" t="s">
        <v>25</v>
      </c>
      <c r="AJ5" s="17" t="s">
        <v>32</v>
      </c>
      <c r="AK5" s="17" t="s">
        <v>33</v>
      </c>
      <c r="AL5" s="17" t="s">
        <v>34</v>
      </c>
      <c r="AM5" s="16" t="s">
        <v>26</v>
      </c>
      <c r="AN5" s="83" t="s">
        <v>31</v>
      </c>
      <c r="AO5" s="84" t="s">
        <v>27</v>
      </c>
      <c r="AP5" s="84" t="s">
        <v>24</v>
      </c>
      <c r="AQ5" s="85" t="s">
        <v>25</v>
      </c>
      <c r="AR5" s="83" t="s">
        <v>31</v>
      </c>
      <c r="AS5" s="84" t="s">
        <v>27</v>
      </c>
      <c r="AT5" s="84" t="s">
        <v>24</v>
      </c>
      <c r="AU5" s="85" t="s">
        <v>25</v>
      </c>
      <c r="AV5" s="17" t="s">
        <v>10</v>
      </c>
      <c r="AW5" s="17" t="s">
        <v>6</v>
      </c>
      <c r="AX5" s="150" t="s">
        <v>278</v>
      </c>
    </row>
    <row r="6" spans="1:50" ht="75" x14ac:dyDescent="0.25">
      <c r="B6" s="122" t="s">
        <v>196</v>
      </c>
      <c r="C6" s="101" t="s">
        <v>197</v>
      </c>
      <c r="D6" s="102" t="s">
        <v>45</v>
      </c>
      <c r="E6" s="103">
        <v>1</v>
      </c>
      <c r="F6" s="101" t="s">
        <v>41</v>
      </c>
      <c r="G6" s="101" t="s">
        <v>39</v>
      </c>
      <c r="H6" s="101" t="s">
        <v>198</v>
      </c>
      <c r="I6" s="134" t="s">
        <v>323</v>
      </c>
      <c r="J6" s="101" t="s">
        <v>40</v>
      </c>
      <c r="K6" s="101" t="s">
        <v>199</v>
      </c>
      <c r="L6" s="101" t="s">
        <v>46</v>
      </c>
      <c r="M6" s="101" t="s">
        <v>47</v>
      </c>
      <c r="N6" s="101" t="s">
        <v>42</v>
      </c>
      <c r="O6" s="104">
        <v>5</v>
      </c>
      <c r="P6" s="105">
        <v>1</v>
      </c>
      <c r="Q6" s="106">
        <v>1</v>
      </c>
      <c r="R6" s="106">
        <v>6</v>
      </c>
      <c r="S6" s="107">
        <v>5</v>
      </c>
      <c r="T6" s="108" t="str">
        <f t="shared" ref="T6" ca="1" si="0">IF(AND(ISNUMBER(P6),ISNUMBER($O6)),OFFSET(RiskMatrixRef,-$O6+1,P6-1),"")</f>
        <v>Low</v>
      </c>
      <c r="U6" s="109" t="str">
        <f t="shared" ref="U6" ca="1" si="1">IF(AND(ISNUMBER(Q6),ISNUMBER($O6)),OFFSET(RiskMatrixRef,-$O6+1,Q6-1),"")</f>
        <v>Low</v>
      </c>
      <c r="V6" s="109" t="str">
        <f t="shared" ref="V6" ca="1" si="2">IF(AND(ISNUMBER(R6),ISNUMBER($O6)),OFFSET(RiskMatrixRef,-$O6+1,R6-1),"")</f>
        <v>Low</v>
      </c>
      <c r="W6" s="110" t="str">
        <f t="shared" ref="W6" ca="1" si="3">IF(AND(ISNUMBER(S6),ISNUMBER($O6)),OFFSET(RiskMatrixRef,-$O6+1,S6-1),"")</f>
        <v>Low</v>
      </c>
      <c r="X6" s="111"/>
      <c r="Y6" s="111"/>
      <c r="Z6" s="111"/>
      <c r="AA6" s="104"/>
      <c r="AB6" s="105"/>
      <c r="AC6" s="106"/>
      <c r="AD6" s="106"/>
      <c r="AE6" s="107"/>
      <c r="AF6" s="108" t="str">
        <f t="shared" ref="AF6:AF50" ca="1" si="4">IF(AND(ISNUMBER(AB6),ISNUMBER($AA6)),OFFSET(RiskMatrixRef,-$AA6+1,AB6-1),"")</f>
        <v/>
      </c>
      <c r="AG6" s="109" t="str">
        <f t="shared" ref="AG6:AG50" ca="1" si="5">IF(AND(ISNUMBER(AC6),ISNUMBER($AA6)),OFFSET(RiskMatrixRef,-$AA6+1,AC6-1),"")</f>
        <v/>
      </c>
      <c r="AH6" s="109" t="str">
        <f t="shared" ref="AH6:AH50" ca="1" si="6">IF(AND(ISNUMBER(AD6),ISNUMBER($AA6)),OFFSET(RiskMatrixRef,-$AA6+1,AD6-1),"")</f>
        <v/>
      </c>
      <c r="AI6" s="110" t="str">
        <f t="shared" ref="AI6:AI50" ca="1" si="7">IF(AND(ISNUMBER(AE6),ISNUMBER($AA6)),OFFSET(RiskMatrixRef,-$AA6+1,AE6-1),"")</f>
        <v/>
      </c>
      <c r="AJ6" s="111"/>
      <c r="AK6" s="111"/>
      <c r="AL6" s="111"/>
      <c r="AM6" s="104"/>
      <c r="AN6" s="105"/>
      <c r="AO6" s="106"/>
      <c r="AP6" s="106"/>
      <c r="AQ6" s="107"/>
      <c r="AR6" s="108" t="str">
        <f t="shared" ref="AR6:AR50" ca="1" si="8">IF(AND(ISNUMBER(AN6),ISNUMBER($AM6)),OFFSET(RiskMatrixRef,-$AM6+1,AN6-1),"")</f>
        <v/>
      </c>
      <c r="AS6" s="109" t="str">
        <f t="shared" ref="AS6:AS50" ca="1" si="9">IF(AND(ISNUMBER(AO6),ISNUMBER($AM6)),OFFSET(RiskMatrixRef,-$AM6+1,AO6-1),"")</f>
        <v/>
      </c>
      <c r="AT6" s="109" t="str">
        <f t="shared" ref="AT6:AT50" ca="1" si="10">IF(AND(ISNUMBER(AP6),ISNUMBER($AM6)),OFFSET(RiskMatrixRef,-$AM6+1,AP6-1),"")</f>
        <v/>
      </c>
      <c r="AU6" s="110" t="str">
        <f t="shared" ref="AU6:AU50" ca="1" si="11">IF(AND(ISNUMBER(AQ6),ISNUMBER($AM6)),OFFSET(RiskMatrixRef,-$AM6+1,AQ6-1),"")</f>
        <v/>
      </c>
      <c r="AV6" s="112"/>
      <c r="AW6" s="145"/>
      <c r="AX6" s="148"/>
    </row>
    <row r="7" spans="1:50" ht="150" x14ac:dyDescent="0.25">
      <c r="B7" s="119" t="s">
        <v>48</v>
      </c>
      <c r="C7" s="36" t="s">
        <v>202</v>
      </c>
      <c r="D7" s="36" t="s">
        <v>49</v>
      </c>
      <c r="E7" s="1">
        <v>2</v>
      </c>
      <c r="F7" s="36" t="s">
        <v>56</v>
      </c>
      <c r="G7" s="36" t="s">
        <v>50</v>
      </c>
      <c r="H7" s="36" t="s">
        <v>295</v>
      </c>
      <c r="I7" s="133" t="s">
        <v>311</v>
      </c>
      <c r="J7" s="63" t="s">
        <v>40</v>
      </c>
      <c r="K7" s="133" t="s">
        <v>304</v>
      </c>
      <c r="L7" s="63" t="s">
        <v>53</v>
      </c>
      <c r="M7" s="63" t="s">
        <v>54</v>
      </c>
      <c r="N7" s="134" t="s">
        <v>302</v>
      </c>
      <c r="O7" s="113">
        <v>7</v>
      </c>
      <c r="P7" s="114">
        <v>1</v>
      </c>
      <c r="Q7" s="115">
        <v>1</v>
      </c>
      <c r="R7" s="135">
        <v>2</v>
      </c>
      <c r="S7" s="116">
        <v>4</v>
      </c>
      <c r="T7" s="15" t="str">
        <f t="shared" ref="T7:T55" ca="1" si="12">IF(AND(ISNUMBER(P7),ISNUMBER($O7)),OFFSET(RiskMatrixRef,-$O7+1,P7-1),"")</f>
        <v>Low</v>
      </c>
      <c r="U7" s="9" t="str">
        <f t="shared" ref="U7:U55" ca="1" si="13">IF(AND(ISNUMBER(Q7),ISNUMBER($O7)),OFFSET(RiskMatrixRef,-$O7+1,Q7-1),"")</f>
        <v>Low</v>
      </c>
      <c r="V7" s="9" t="str">
        <f t="shared" ref="V7:V55" ca="1" si="14">IF(AND(ISNUMBER(R7),ISNUMBER($O7)),OFFSET(RiskMatrixRef,-$O7+1,R7-1),"")</f>
        <v>Low</v>
      </c>
      <c r="W7" s="13" t="str">
        <f t="shared" ref="W7:W55" ca="1" si="15">IF(AND(ISNUMBER(S7),ISNUMBER($O7)),OFFSET(RiskMatrixRef,-$O7+1,S7-1),"")</f>
        <v>Low</v>
      </c>
      <c r="X7" s="138" t="s">
        <v>312</v>
      </c>
      <c r="Y7" s="21"/>
      <c r="Z7" s="21"/>
      <c r="AA7" s="25"/>
      <c r="AB7" s="8"/>
      <c r="AC7" s="12"/>
      <c r="AD7" s="12"/>
      <c r="AE7" s="4"/>
      <c r="AF7" s="15" t="str">
        <f t="shared" ref="AF7" ca="1" si="16">IF(AND(ISNUMBER(AB7),ISNUMBER($AA7)),OFFSET(RiskMatrixRef,-$AA7+1,AB7-1),"")</f>
        <v/>
      </c>
      <c r="AG7" s="9" t="str">
        <f t="shared" ref="AG7" ca="1" si="17">IF(AND(ISNUMBER(AC7),ISNUMBER($AA7)),OFFSET(RiskMatrixRef,-$AA7+1,AC7-1),"")</f>
        <v/>
      </c>
      <c r="AH7" s="9" t="str">
        <f t="shared" ref="AH7" ca="1" si="18">IF(AND(ISNUMBER(AD7),ISNUMBER($AA7)),OFFSET(RiskMatrixRef,-$AA7+1,AD7-1),"")</f>
        <v/>
      </c>
      <c r="AI7" s="13" t="str">
        <f t="shared" ref="AI7" ca="1" si="19">IF(AND(ISNUMBER(AE7),ISNUMBER($AA7)),OFFSET(RiskMatrixRef,-$AA7+1,AE7-1),"")</f>
        <v/>
      </c>
      <c r="AJ7" s="21"/>
      <c r="AK7" s="21"/>
      <c r="AL7" s="21"/>
      <c r="AM7" s="25"/>
      <c r="AN7" s="8"/>
      <c r="AO7" s="12"/>
      <c r="AP7" s="12"/>
      <c r="AQ7" s="4"/>
      <c r="AR7" s="15" t="str">
        <f t="shared" ref="AR7" ca="1" si="20">IF(AND(ISNUMBER(AN7),ISNUMBER($AM7)),OFFSET(RiskMatrixRef,-$AM7+1,AN7-1),"")</f>
        <v/>
      </c>
      <c r="AS7" s="9" t="str">
        <f t="shared" ref="AS7" ca="1" si="21">IF(AND(ISNUMBER(AO7),ISNUMBER($AM7)),OFFSET(RiskMatrixRef,-$AM7+1,AO7-1),"")</f>
        <v/>
      </c>
      <c r="AT7" s="9" t="str">
        <f t="shared" ref="AT7" ca="1" si="22">IF(AND(ISNUMBER(AP7),ISNUMBER($AM7)),OFFSET(RiskMatrixRef,-$AM7+1,AP7-1),"")</f>
        <v/>
      </c>
      <c r="AU7" s="13" t="str">
        <f t="shared" ref="AU7" ca="1" si="23">IF(AND(ISNUMBER(AQ7),ISNUMBER($AM7)),OFFSET(RiskMatrixRef,-$AM7+1,AQ7-1),"")</f>
        <v/>
      </c>
      <c r="AV7" s="26"/>
      <c r="AW7" s="149" t="s">
        <v>309</v>
      </c>
      <c r="AX7" s="151" t="s">
        <v>277</v>
      </c>
    </row>
    <row r="8" spans="1:50" ht="75" x14ac:dyDescent="0.25">
      <c r="B8" s="119" t="s">
        <v>55</v>
      </c>
      <c r="C8" s="36" t="s">
        <v>202</v>
      </c>
      <c r="D8" s="36" t="s">
        <v>49</v>
      </c>
      <c r="E8" s="1">
        <v>2</v>
      </c>
      <c r="F8" s="36" t="s">
        <v>56</v>
      </c>
      <c r="G8" s="36" t="s">
        <v>50</v>
      </c>
      <c r="H8" s="36" t="s">
        <v>295</v>
      </c>
      <c r="I8" s="36" t="s">
        <v>172</v>
      </c>
      <c r="J8" s="63" t="s">
        <v>40</v>
      </c>
      <c r="K8" s="133" t="s">
        <v>303</v>
      </c>
      <c r="L8" s="63" t="s">
        <v>53</v>
      </c>
      <c r="M8" s="63" t="s">
        <v>54</v>
      </c>
      <c r="N8" s="134" t="s">
        <v>302</v>
      </c>
      <c r="O8" s="113">
        <v>6</v>
      </c>
      <c r="P8" s="114">
        <v>1</v>
      </c>
      <c r="Q8" s="115">
        <v>1</v>
      </c>
      <c r="R8" s="135">
        <v>2</v>
      </c>
      <c r="S8" s="116">
        <v>4</v>
      </c>
      <c r="T8" s="15" t="str">
        <f t="shared" ca="1" si="12"/>
        <v>Low</v>
      </c>
      <c r="U8" s="9" t="str">
        <f t="shared" ca="1" si="13"/>
        <v>Low</v>
      </c>
      <c r="V8" s="9" t="str">
        <f t="shared" ca="1" si="14"/>
        <v>Low</v>
      </c>
      <c r="W8" s="13" t="str">
        <f t="shared" ca="1" si="15"/>
        <v>Low</v>
      </c>
      <c r="X8" s="21"/>
      <c r="Y8" s="21"/>
      <c r="Z8" s="21"/>
      <c r="AA8" s="25"/>
      <c r="AB8" s="8"/>
      <c r="AC8" s="12"/>
      <c r="AD8" s="12"/>
      <c r="AE8" s="4"/>
      <c r="AF8" s="15" t="str">
        <f t="shared" ref="AF8:AF12" ca="1" si="24">IF(AND(ISNUMBER(AB8),ISNUMBER($AA8)),OFFSET(RiskMatrixRef,-$AA8+1,AB8-1),"")</f>
        <v/>
      </c>
      <c r="AG8" s="9" t="str">
        <f t="shared" ref="AG8:AG12" ca="1" si="25">IF(AND(ISNUMBER(AC8),ISNUMBER($AA8)),OFFSET(RiskMatrixRef,-$AA8+1,AC8-1),"")</f>
        <v/>
      </c>
      <c r="AH8" s="9" t="str">
        <f t="shared" ref="AH8:AH12" ca="1" si="26">IF(AND(ISNUMBER(AD8),ISNUMBER($AA8)),OFFSET(RiskMatrixRef,-$AA8+1,AD8-1),"")</f>
        <v/>
      </c>
      <c r="AI8" s="13" t="str">
        <f t="shared" ref="AI8:AI12" ca="1" si="27">IF(AND(ISNUMBER(AE8),ISNUMBER($AA8)),OFFSET(RiskMatrixRef,-$AA8+1,AE8-1),"")</f>
        <v/>
      </c>
      <c r="AJ8" s="21"/>
      <c r="AK8" s="21"/>
      <c r="AL8" s="21"/>
      <c r="AM8" s="25"/>
      <c r="AN8" s="8"/>
      <c r="AO8" s="12"/>
      <c r="AP8" s="12"/>
      <c r="AQ8" s="4"/>
      <c r="AR8" s="15" t="str">
        <f t="shared" ref="AR8:AR12" ca="1" si="28">IF(AND(ISNUMBER(AN8),ISNUMBER($AM8)),OFFSET(RiskMatrixRef,-$AM8+1,AN8-1),"")</f>
        <v/>
      </c>
      <c r="AS8" s="9" t="str">
        <f t="shared" ref="AS8:AS12" ca="1" si="29">IF(AND(ISNUMBER(AO8),ISNUMBER($AM8)),OFFSET(RiskMatrixRef,-$AM8+1,AO8-1),"")</f>
        <v/>
      </c>
      <c r="AT8" s="9" t="str">
        <f t="shared" ref="AT8:AT12" ca="1" si="30">IF(AND(ISNUMBER(AP8),ISNUMBER($AM8)),OFFSET(RiskMatrixRef,-$AM8+1,AP8-1),"")</f>
        <v/>
      </c>
      <c r="AU8" s="13" t="str">
        <f t="shared" ref="AU8:AU12" ca="1" si="31">IF(AND(ISNUMBER(AQ8),ISNUMBER($AM8)),OFFSET(RiskMatrixRef,-$AM8+1,AQ8-1),"")</f>
        <v/>
      </c>
      <c r="AV8" s="26"/>
      <c r="AW8" s="143" t="s">
        <v>313</v>
      </c>
      <c r="AX8" s="152" t="s">
        <v>296</v>
      </c>
    </row>
    <row r="9" spans="1:50" ht="75" x14ac:dyDescent="0.25">
      <c r="B9" s="119" t="s">
        <v>55</v>
      </c>
      <c r="C9" s="36" t="s">
        <v>202</v>
      </c>
      <c r="D9" s="36" t="s">
        <v>49</v>
      </c>
      <c r="E9" s="1">
        <v>2</v>
      </c>
      <c r="F9" s="36" t="s">
        <v>56</v>
      </c>
      <c r="G9" s="36" t="s">
        <v>50</v>
      </c>
      <c r="H9" s="36" t="s">
        <v>295</v>
      </c>
      <c r="I9" s="36" t="s">
        <v>241</v>
      </c>
      <c r="J9" s="63" t="s">
        <v>40</v>
      </c>
      <c r="K9" s="133" t="s">
        <v>305</v>
      </c>
      <c r="L9" s="63" t="s">
        <v>53</v>
      </c>
      <c r="M9" s="63" t="s">
        <v>54</v>
      </c>
      <c r="N9" s="134" t="s">
        <v>302</v>
      </c>
      <c r="O9" s="113">
        <v>7</v>
      </c>
      <c r="P9" s="114">
        <v>1</v>
      </c>
      <c r="Q9" s="115">
        <v>1</v>
      </c>
      <c r="R9" s="135">
        <v>2</v>
      </c>
      <c r="S9" s="116">
        <v>4</v>
      </c>
      <c r="T9" s="15" t="str">
        <f t="shared" ca="1" si="12"/>
        <v>Low</v>
      </c>
      <c r="U9" s="9" t="str">
        <f t="shared" ca="1" si="13"/>
        <v>Low</v>
      </c>
      <c r="V9" s="9" t="str">
        <f t="shared" ca="1" si="14"/>
        <v>Low</v>
      </c>
      <c r="W9" s="13" t="str">
        <f t="shared" ca="1" si="15"/>
        <v>Low</v>
      </c>
      <c r="X9" s="21"/>
      <c r="Y9" s="21"/>
      <c r="Z9" s="21"/>
      <c r="AA9" s="25"/>
      <c r="AB9" s="8"/>
      <c r="AC9" s="12"/>
      <c r="AD9" s="12"/>
      <c r="AE9" s="4"/>
      <c r="AF9" s="15" t="str">
        <f t="shared" ref="AF9" ca="1" si="32">IF(AND(ISNUMBER(AB9),ISNUMBER($AA9)),OFFSET(RiskMatrixRef,-$AA9+1,AB9-1),"")</f>
        <v/>
      </c>
      <c r="AG9" s="9" t="str">
        <f t="shared" ref="AG9" ca="1" si="33">IF(AND(ISNUMBER(AC9),ISNUMBER($AA9)),OFFSET(RiskMatrixRef,-$AA9+1,AC9-1),"")</f>
        <v/>
      </c>
      <c r="AH9" s="9" t="str">
        <f t="shared" ref="AH9" ca="1" si="34">IF(AND(ISNUMBER(AD9),ISNUMBER($AA9)),OFFSET(RiskMatrixRef,-$AA9+1,AD9-1),"")</f>
        <v/>
      </c>
      <c r="AI9" s="13" t="str">
        <f t="shared" ref="AI9" ca="1" si="35">IF(AND(ISNUMBER(AE9),ISNUMBER($AA9)),OFFSET(RiskMatrixRef,-$AA9+1,AE9-1),"")</f>
        <v/>
      </c>
      <c r="AJ9" s="21"/>
      <c r="AK9" s="21"/>
      <c r="AL9" s="21"/>
      <c r="AM9" s="25"/>
      <c r="AN9" s="8"/>
      <c r="AO9" s="12"/>
      <c r="AP9" s="12"/>
      <c r="AQ9" s="4"/>
      <c r="AR9" s="15" t="str">
        <f t="shared" ref="AR9" ca="1" si="36">IF(AND(ISNUMBER(AN9),ISNUMBER($AM9)),OFFSET(RiskMatrixRef,-$AM9+1,AN9-1),"")</f>
        <v/>
      </c>
      <c r="AS9" s="9" t="str">
        <f t="shared" ref="AS9" ca="1" si="37">IF(AND(ISNUMBER(AO9),ISNUMBER($AM9)),OFFSET(RiskMatrixRef,-$AM9+1,AO9-1),"")</f>
        <v/>
      </c>
      <c r="AT9" s="9" t="str">
        <f t="shared" ref="AT9" ca="1" si="38">IF(AND(ISNUMBER(AP9),ISNUMBER($AM9)),OFFSET(RiskMatrixRef,-$AM9+1,AP9-1),"")</f>
        <v/>
      </c>
      <c r="AU9" s="13" t="str">
        <f t="shared" ref="AU9" ca="1" si="39">IF(AND(ISNUMBER(AQ9),ISNUMBER($AM9)),OFFSET(RiskMatrixRef,-$AM9+1,AQ9-1),"")</f>
        <v/>
      </c>
      <c r="AV9" s="26"/>
      <c r="AW9" s="143" t="s">
        <v>313</v>
      </c>
      <c r="AX9" s="152" t="s">
        <v>296</v>
      </c>
    </row>
    <row r="10" spans="1:50" ht="75" x14ac:dyDescent="0.25">
      <c r="B10" s="119" t="s">
        <v>89</v>
      </c>
      <c r="C10" s="36" t="s">
        <v>202</v>
      </c>
      <c r="D10" s="36" t="s">
        <v>49</v>
      </c>
      <c r="E10" s="1">
        <v>2</v>
      </c>
      <c r="F10" s="36" t="s">
        <v>56</v>
      </c>
      <c r="G10" s="36" t="s">
        <v>50</v>
      </c>
      <c r="H10" s="36" t="s">
        <v>295</v>
      </c>
      <c r="I10" s="36" t="s">
        <v>38</v>
      </c>
      <c r="J10" s="63" t="s">
        <v>40</v>
      </c>
      <c r="K10" s="133" t="s">
        <v>304</v>
      </c>
      <c r="L10" s="63" t="s">
        <v>53</v>
      </c>
      <c r="M10" s="63" t="s">
        <v>54</v>
      </c>
      <c r="N10" s="134" t="s">
        <v>302</v>
      </c>
      <c r="O10" s="113">
        <v>7</v>
      </c>
      <c r="P10" s="114">
        <v>1</v>
      </c>
      <c r="Q10" s="115">
        <v>1</v>
      </c>
      <c r="R10" s="135">
        <v>2</v>
      </c>
      <c r="S10" s="116">
        <v>4</v>
      </c>
      <c r="T10" s="15" t="str">
        <f t="shared" ca="1" si="12"/>
        <v>Low</v>
      </c>
      <c r="U10" s="9" t="str">
        <f t="shared" ca="1" si="13"/>
        <v>Low</v>
      </c>
      <c r="V10" s="9" t="str">
        <f t="shared" ca="1" si="14"/>
        <v>Low</v>
      </c>
      <c r="W10" s="13" t="str">
        <f t="shared" ca="1" si="15"/>
        <v>Low</v>
      </c>
      <c r="X10" s="21"/>
      <c r="Y10" s="21"/>
      <c r="Z10" s="21"/>
      <c r="AA10" s="25"/>
      <c r="AB10" s="8"/>
      <c r="AC10" s="12"/>
      <c r="AD10" s="12"/>
      <c r="AE10" s="4"/>
      <c r="AF10" s="15" t="str">
        <f t="shared" ref="AF10" ca="1" si="40">IF(AND(ISNUMBER(AB10),ISNUMBER($AA10)),OFFSET(RiskMatrixRef,-$AA10+1,AB10-1),"")</f>
        <v/>
      </c>
      <c r="AG10" s="9" t="str">
        <f t="shared" ref="AG10" ca="1" si="41">IF(AND(ISNUMBER(AC10),ISNUMBER($AA10)),OFFSET(RiskMatrixRef,-$AA10+1,AC10-1),"")</f>
        <v/>
      </c>
      <c r="AH10" s="9" t="str">
        <f t="shared" ref="AH10" ca="1" si="42">IF(AND(ISNUMBER(AD10),ISNUMBER($AA10)),OFFSET(RiskMatrixRef,-$AA10+1,AD10-1),"")</f>
        <v/>
      </c>
      <c r="AI10" s="13" t="str">
        <f t="shared" ref="AI10" ca="1" si="43">IF(AND(ISNUMBER(AE10),ISNUMBER($AA10)),OFFSET(RiskMatrixRef,-$AA10+1,AE10-1),"")</f>
        <v/>
      </c>
      <c r="AJ10" s="21"/>
      <c r="AK10" s="21"/>
      <c r="AL10" s="21"/>
      <c r="AM10" s="25"/>
      <c r="AN10" s="8"/>
      <c r="AO10" s="12"/>
      <c r="AP10" s="12"/>
      <c r="AQ10" s="4"/>
      <c r="AR10" s="15" t="str">
        <f t="shared" ref="AR10" ca="1" si="44">IF(AND(ISNUMBER(AN10),ISNUMBER($AM10)),OFFSET(RiskMatrixRef,-$AM10+1,AN10-1),"")</f>
        <v/>
      </c>
      <c r="AS10" s="9" t="str">
        <f t="shared" ref="AS10" ca="1" si="45">IF(AND(ISNUMBER(AO10),ISNUMBER($AM10)),OFFSET(RiskMatrixRef,-$AM10+1,AO10-1),"")</f>
        <v/>
      </c>
      <c r="AT10" s="9" t="str">
        <f t="shared" ref="AT10" ca="1" si="46">IF(AND(ISNUMBER(AP10),ISNUMBER($AM10)),OFFSET(RiskMatrixRef,-$AM10+1,AP10-1),"")</f>
        <v/>
      </c>
      <c r="AU10" s="13" t="str">
        <f t="shared" ref="AU10" ca="1" si="47">IF(AND(ISNUMBER(AQ10),ISNUMBER($AM10)),OFFSET(RiskMatrixRef,-$AM10+1,AQ10-1),"")</f>
        <v/>
      </c>
      <c r="AV10" s="26"/>
      <c r="AW10" s="143" t="s">
        <v>313</v>
      </c>
      <c r="AX10" s="148" t="s">
        <v>287</v>
      </c>
    </row>
    <row r="11" spans="1:50" ht="135" x14ac:dyDescent="0.25">
      <c r="B11" s="119" t="s">
        <v>240</v>
      </c>
      <c r="C11" s="36" t="s">
        <v>202</v>
      </c>
      <c r="D11" s="36" t="s">
        <v>49</v>
      </c>
      <c r="E11" s="1">
        <v>2</v>
      </c>
      <c r="F11" s="36" t="s">
        <v>56</v>
      </c>
      <c r="G11" s="36" t="s">
        <v>50</v>
      </c>
      <c r="H11" s="36" t="s">
        <v>295</v>
      </c>
      <c r="I11" s="36" t="s">
        <v>310</v>
      </c>
      <c r="J11" s="63" t="s">
        <v>40</v>
      </c>
      <c r="K11" s="36" t="s">
        <v>204</v>
      </c>
      <c r="L11" s="63" t="s">
        <v>53</v>
      </c>
      <c r="M11" s="63" t="s">
        <v>54</v>
      </c>
      <c r="N11" s="134" t="s">
        <v>306</v>
      </c>
      <c r="O11" s="137">
        <v>5</v>
      </c>
      <c r="P11" s="114">
        <v>1</v>
      </c>
      <c r="Q11" s="115">
        <v>1</v>
      </c>
      <c r="R11" s="136">
        <v>6</v>
      </c>
      <c r="S11" s="116">
        <v>4</v>
      </c>
      <c r="T11" s="15" t="str">
        <f t="shared" ca="1" si="12"/>
        <v>Low</v>
      </c>
      <c r="U11" s="9" t="str">
        <f t="shared" ca="1" si="13"/>
        <v>Low</v>
      </c>
      <c r="V11" s="9" t="str">
        <f t="shared" ca="1" si="14"/>
        <v>Low</v>
      </c>
      <c r="W11" s="13" t="str">
        <f t="shared" ca="1" si="15"/>
        <v>Low</v>
      </c>
      <c r="X11" s="21"/>
      <c r="Y11" s="21"/>
      <c r="Z11" s="21"/>
      <c r="AA11" s="25"/>
      <c r="AB11" s="8"/>
      <c r="AC11" s="12"/>
      <c r="AD11" s="12"/>
      <c r="AE11" s="4"/>
      <c r="AF11" s="15" t="str">
        <f t="shared" ref="AF11" ca="1" si="48">IF(AND(ISNUMBER(AB11),ISNUMBER($AA11)),OFFSET(RiskMatrixRef,-$AA11+1,AB11-1),"")</f>
        <v/>
      </c>
      <c r="AG11" s="9" t="str">
        <f t="shared" ref="AG11" ca="1" si="49">IF(AND(ISNUMBER(AC11),ISNUMBER($AA11)),OFFSET(RiskMatrixRef,-$AA11+1,AC11-1),"")</f>
        <v/>
      </c>
      <c r="AH11" s="9" t="str">
        <f t="shared" ref="AH11" ca="1" si="50">IF(AND(ISNUMBER(AD11),ISNUMBER($AA11)),OFFSET(RiskMatrixRef,-$AA11+1,AD11-1),"")</f>
        <v/>
      </c>
      <c r="AI11" s="13" t="str">
        <f t="shared" ref="AI11" ca="1" si="51">IF(AND(ISNUMBER(AE11),ISNUMBER($AA11)),OFFSET(RiskMatrixRef,-$AA11+1,AE11-1),"")</f>
        <v/>
      </c>
      <c r="AJ11" s="21"/>
      <c r="AK11" s="21"/>
      <c r="AL11" s="21"/>
      <c r="AM11" s="25"/>
      <c r="AN11" s="8"/>
      <c r="AO11" s="12"/>
      <c r="AP11" s="12"/>
      <c r="AQ11" s="4"/>
      <c r="AR11" s="15" t="str">
        <f t="shared" ref="AR11" ca="1" si="52">IF(AND(ISNUMBER(AN11),ISNUMBER($AM11)),OFFSET(RiskMatrixRef,-$AM11+1,AN11-1),"")</f>
        <v/>
      </c>
      <c r="AS11" s="9" t="str">
        <f t="shared" ref="AS11" ca="1" si="53">IF(AND(ISNUMBER(AO11),ISNUMBER($AM11)),OFFSET(RiskMatrixRef,-$AM11+1,AO11-1),"")</f>
        <v/>
      </c>
      <c r="AT11" s="9" t="str">
        <f t="shared" ref="AT11" ca="1" si="54">IF(AND(ISNUMBER(AP11),ISNUMBER($AM11)),OFFSET(RiskMatrixRef,-$AM11+1,AP11-1),"")</f>
        <v/>
      </c>
      <c r="AU11" s="13" t="str">
        <f t="shared" ref="AU11" ca="1" si="55">IF(AND(ISNUMBER(AQ11),ISNUMBER($AM11)),OFFSET(RiskMatrixRef,-$AM11+1,AQ11-1),"")</f>
        <v/>
      </c>
      <c r="AV11" s="26"/>
      <c r="AW11" s="143" t="s">
        <v>314</v>
      </c>
      <c r="AX11" s="148" t="s">
        <v>288</v>
      </c>
    </row>
    <row r="12" spans="1:50" ht="75" x14ac:dyDescent="0.25">
      <c r="B12" s="119" t="s">
        <v>90</v>
      </c>
      <c r="C12" s="36" t="s">
        <v>202</v>
      </c>
      <c r="D12" s="36" t="s">
        <v>49</v>
      </c>
      <c r="E12" s="1">
        <v>2</v>
      </c>
      <c r="F12" s="36" t="s">
        <v>56</v>
      </c>
      <c r="G12" s="36" t="s">
        <v>50</v>
      </c>
      <c r="H12" s="36" t="s">
        <v>295</v>
      </c>
      <c r="I12" s="36" t="s">
        <v>71</v>
      </c>
      <c r="J12" s="63" t="s">
        <v>40</v>
      </c>
      <c r="K12" s="133" t="s">
        <v>307</v>
      </c>
      <c r="L12" s="63" t="s">
        <v>53</v>
      </c>
      <c r="M12" s="63" t="s">
        <v>54</v>
      </c>
      <c r="N12" s="134" t="s">
        <v>302</v>
      </c>
      <c r="O12" s="113">
        <v>7</v>
      </c>
      <c r="P12" s="114">
        <v>1</v>
      </c>
      <c r="Q12" s="115">
        <v>1</v>
      </c>
      <c r="R12" s="135">
        <v>2</v>
      </c>
      <c r="S12" s="116">
        <v>4</v>
      </c>
      <c r="T12" s="15" t="str">
        <f t="shared" ca="1" si="12"/>
        <v>Low</v>
      </c>
      <c r="U12" s="9" t="str">
        <f t="shared" ca="1" si="13"/>
        <v>Low</v>
      </c>
      <c r="V12" s="9" t="str">
        <f t="shared" ca="1" si="14"/>
        <v>Low</v>
      </c>
      <c r="W12" s="13" t="str">
        <f t="shared" ca="1" si="15"/>
        <v>Low</v>
      </c>
      <c r="X12" s="21"/>
      <c r="Y12" s="21"/>
      <c r="Z12" s="21"/>
      <c r="AA12" s="25"/>
      <c r="AB12" s="8"/>
      <c r="AC12" s="12"/>
      <c r="AD12" s="12"/>
      <c r="AE12" s="4"/>
      <c r="AF12" s="15" t="str">
        <f t="shared" ca="1" si="24"/>
        <v/>
      </c>
      <c r="AG12" s="9" t="str">
        <f t="shared" ca="1" si="25"/>
        <v/>
      </c>
      <c r="AH12" s="9" t="str">
        <f t="shared" ca="1" si="26"/>
        <v/>
      </c>
      <c r="AI12" s="13" t="str">
        <f t="shared" ca="1" si="27"/>
        <v/>
      </c>
      <c r="AJ12" s="21"/>
      <c r="AK12" s="21"/>
      <c r="AL12" s="21"/>
      <c r="AM12" s="25"/>
      <c r="AN12" s="8"/>
      <c r="AO12" s="12"/>
      <c r="AP12" s="12"/>
      <c r="AQ12" s="4"/>
      <c r="AR12" s="15" t="str">
        <f t="shared" ca="1" si="28"/>
        <v/>
      </c>
      <c r="AS12" s="9" t="str">
        <f t="shared" ca="1" si="29"/>
        <v/>
      </c>
      <c r="AT12" s="9" t="str">
        <f t="shared" ca="1" si="30"/>
        <v/>
      </c>
      <c r="AU12" s="13" t="str">
        <f t="shared" ca="1" si="31"/>
        <v/>
      </c>
      <c r="AV12" s="26"/>
      <c r="AW12" s="143" t="s">
        <v>313</v>
      </c>
      <c r="AX12" s="152" t="s">
        <v>296</v>
      </c>
    </row>
    <row r="13" spans="1:50" ht="75" x14ac:dyDescent="0.25">
      <c r="B13" s="119" t="s">
        <v>91</v>
      </c>
      <c r="C13" s="36" t="s">
        <v>202</v>
      </c>
      <c r="D13" s="36" t="s">
        <v>49</v>
      </c>
      <c r="E13" s="1">
        <v>2</v>
      </c>
      <c r="F13" s="36" t="s">
        <v>56</v>
      </c>
      <c r="G13" s="36" t="s">
        <v>50</v>
      </c>
      <c r="H13" s="36" t="s">
        <v>295</v>
      </c>
      <c r="I13" s="36" t="s">
        <v>72</v>
      </c>
      <c r="J13" s="63" t="s">
        <v>40</v>
      </c>
      <c r="K13" s="133" t="s">
        <v>308</v>
      </c>
      <c r="L13" s="63" t="s">
        <v>53</v>
      </c>
      <c r="M13" s="63" t="s">
        <v>54</v>
      </c>
      <c r="N13" s="134" t="s">
        <v>302</v>
      </c>
      <c r="O13" s="113">
        <v>7</v>
      </c>
      <c r="P13" s="114">
        <v>1</v>
      </c>
      <c r="Q13" s="115">
        <v>1</v>
      </c>
      <c r="R13" s="135">
        <v>2</v>
      </c>
      <c r="S13" s="116">
        <v>4</v>
      </c>
      <c r="T13" s="15" t="str">
        <f t="shared" ca="1" si="12"/>
        <v>Low</v>
      </c>
      <c r="U13" s="9" t="str">
        <f t="shared" ca="1" si="13"/>
        <v>Low</v>
      </c>
      <c r="V13" s="9" t="str">
        <f t="shared" ca="1" si="14"/>
        <v>Low</v>
      </c>
      <c r="W13" s="13" t="str">
        <f t="shared" ca="1" si="15"/>
        <v>Low</v>
      </c>
      <c r="X13" s="21"/>
      <c r="Y13" s="21"/>
      <c r="Z13" s="21"/>
      <c r="AA13" s="25"/>
      <c r="AB13" s="8"/>
      <c r="AC13" s="12"/>
      <c r="AD13" s="12"/>
      <c r="AE13" s="4"/>
      <c r="AF13" s="15" t="str">
        <f t="shared" ref="AF13" ca="1" si="56">IF(AND(ISNUMBER(AB13),ISNUMBER($AA13)),OFFSET(RiskMatrixRef,-$AA13+1,AB13-1),"")</f>
        <v/>
      </c>
      <c r="AG13" s="9" t="str">
        <f t="shared" ref="AG13" ca="1" si="57">IF(AND(ISNUMBER(AC13),ISNUMBER($AA13)),OFFSET(RiskMatrixRef,-$AA13+1,AC13-1),"")</f>
        <v/>
      </c>
      <c r="AH13" s="9" t="str">
        <f t="shared" ref="AH13" ca="1" si="58">IF(AND(ISNUMBER(AD13),ISNUMBER($AA13)),OFFSET(RiskMatrixRef,-$AA13+1,AD13-1),"")</f>
        <v/>
      </c>
      <c r="AI13" s="13" t="str">
        <f t="shared" ref="AI13" ca="1" si="59">IF(AND(ISNUMBER(AE13),ISNUMBER($AA13)),OFFSET(RiskMatrixRef,-$AA13+1,AE13-1),"")</f>
        <v/>
      </c>
      <c r="AJ13" s="21"/>
      <c r="AK13" s="21"/>
      <c r="AL13" s="21"/>
      <c r="AM13" s="25"/>
      <c r="AN13" s="8"/>
      <c r="AO13" s="12"/>
      <c r="AP13" s="12"/>
      <c r="AQ13" s="4"/>
      <c r="AR13" s="15" t="str">
        <f t="shared" ref="AR13" ca="1" si="60">IF(AND(ISNUMBER(AN13),ISNUMBER($AM13)),OFFSET(RiskMatrixRef,-$AM13+1,AN13-1),"")</f>
        <v/>
      </c>
      <c r="AS13" s="9" t="str">
        <f t="shared" ref="AS13" ca="1" si="61">IF(AND(ISNUMBER(AO13),ISNUMBER($AM13)),OFFSET(RiskMatrixRef,-$AM13+1,AO13-1),"")</f>
        <v/>
      </c>
      <c r="AT13" s="9" t="str">
        <f t="shared" ref="AT13" ca="1" si="62">IF(AND(ISNUMBER(AP13),ISNUMBER($AM13)),OFFSET(RiskMatrixRef,-$AM13+1,AP13-1),"")</f>
        <v/>
      </c>
      <c r="AU13" s="13" t="str">
        <f t="shared" ref="AU13" ca="1" si="63">IF(AND(ISNUMBER(AQ13),ISNUMBER($AM13)),OFFSET(RiskMatrixRef,-$AM13+1,AQ13-1),"")</f>
        <v/>
      </c>
      <c r="AV13" s="26"/>
      <c r="AW13" s="143" t="s">
        <v>313</v>
      </c>
      <c r="AX13" s="152" t="s">
        <v>296</v>
      </c>
    </row>
    <row r="14" spans="1:50" ht="73.5" customHeight="1" x14ac:dyDescent="0.25">
      <c r="A14" s="123"/>
      <c r="B14" s="122" t="s">
        <v>92</v>
      </c>
      <c r="C14" s="101" t="s">
        <v>242</v>
      </c>
      <c r="D14" s="124" t="s">
        <v>49</v>
      </c>
      <c r="E14" s="103">
        <v>2</v>
      </c>
      <c r="F14" s="125" t="s">
        <v>56</v>
      </c>
      <c r="G14" s="101" t="s">
        <v>200</v>
      </c>
      <c r="H14" s="134" t="s">
        <v>315</v>
      </c>
      <c r="I14" s="101" t="s">
        <v>201</v>
      </c>
      <c r="J14" s="101" t="s">
        <v>40</v>
      </c>
      <c r="K14" s="101" t="s">
        <v>243</v>
      </c>
      <c r="L14" s="101" t="s">
        <v>53</v>
      </c>
      <c r="M14" s="101" t="s">
        <v>54</v>
      </c>
      <c r="N14" s="101" t="s">
        <v>289</v>
      </c>
      <c r="O14" s="137">
        <v>4</v>
      </c>
      <c r="P14" s="105">
        <v>1</v>
      </c>
      <c r="Q14" s="106">
        <v>1</v>
      </c>
      <c r="R14" s="106">
        <v>7</v>
      </c>
      <c r="S14" s="107">
        <v>7</v>
      </c>
      <c r="T14" s="108" t="str">
        <f t="shared" ca="1" si="12"/>
        <v>Low</v>
      </c>
      <c r="U14" s="109" t="str">
        <f t="shared" ca="1" si="13"/>
        <v>Low</v>
      </c>
      <c r="V14" s="109" t="str">
        <f t="shared" ca="1" si="14"/>
        <v>Low</v>
      </c>
      <c r="W14" s="110" t="str">
        <f t="shared" ca="1" si="15"/>
        <v>Low</v>
      </c>
      <c r="X14" s="138" t="s">
        <v>316</v>
      </c>
      <c r="Y14" s="111"/>
      <c r="Z14" s="111"/>
      <c r="AA14" s="104"/>
      <c r="AB14" s="105"/>
      <c r="AC14" s="106"/>
      <c r="AD14" s="106"/>
      <c r="AE14" s="107"/>
      <c r="AF14" s="108"/>
      <c r="AG14" s="109"/>
      <c r="AH14" s="109"/>
      <c r="AI14" s="110"/>
      <c r="AJ14" s="111"/>
      <c r="AK14" s="111"/>
      <c r="AL14" s="111"/>
      <c r="AM14" s="104"/>
      <c r="AN14" s="105"/>
      <c r="AO14" s="106"/>
      <c r="AP14" s="106"/>
      <c r="AQ14" s="107"/>
      <c r="AR14" s="108"/>
      <c r="AS14" s="109"/>
      <c r="AT14" s="109"/>
      <c r="AU14" s="110"/>
      <c r="AV14" s="112"/>
      <c r="AW14" s="149" t="s">
        <v>317</v>
      </c>
      <c r="AX14" s="148" t="s">
        <v>297</v>
      </c>
    </row>
    <row r="15" spans="1:50" ht="48.75" customHeight="1" x14ac:dyDescent="0.25">
      <c r="B15" s="119" t="s">
        <v>93</v>
      </c>
      <c r="C15" s="36" t="s">
        <v>208</v>
      </c>
      <c r="D15" s="36" t="s">
        <v>49</v>
      </c>
      <c r="E15" s="1">
        <v>2</v>
      </c>
      <c r="F15" s="36" t="s">
        <v>56</v>
      </c>
      <c r="G15" s="36" t="s">
        <v>50</v>
      </c>
      <c r="H15" s="36" t="s">
        <v>245</v>
      </c>
      <c r="I15" s="36" t="s">
        <v>171</v>
      </c>
      <c r="J15" s="63" t="s">
        <v>40</v>
      </c>
      <c r="K15" s="36" t="s">
        <v>207</v>
      </c>
      <c r="L15" s="63" t="s">
        <v>53</v>
      </c>
      <c r="M15" s="63" t="s">
        <v>54</v>
      </c>
      <c r="N15" s="63" t="s">
        <v>244</v>
      </c>
      <c r="O15" s="113">
        <v>3</v>
      </c>
      <c r="P15" s="114">
        <v>1</v>
      </c>
      <c r="Q15" s="115">
        <v>1</v>
      </c>
      <c r="R15" s="115">
        <v>6</v>
      </c>
      <c r="S15" s="116">
        <v>2</v>
      </c>
      <c r="T15" s="15" t="str">
        <f t="shared" ca="1" si="12"/>
        <v>Low</v>
      </c>
      <c r="U15" s="9" t="str">
        <f t="shared" ca="1" si="13"/>
        <v>Low</v>
      </c>
      <c r="V15" s="9" t="str">
        <f t="shared" ca="1" si="14"/>
        <v>Low</v>
      </c>
      <c r="W15" s="13" t="str">
        <f t="shared" ca="1" si="15"/>
        <v>Low</v>
      </c>
      <c r="X15" s="21"/>
      <c r="Y15" s="21"/>
      <c r="Z15" s="21"/>
      <c r="AA15" s="25"/>
      <c r="AB15" s="8"/>
      <c r="AC15" s="12"/>
      <c r="AD15" s="12"/>
      <c r="AE15" s="4"/>
      <c r="AF15" s="15" t="str">
        <f ca="1">IF(AND(ISNUMBER(AB15),ISNUMBER($AA15)),OFFSET(RiskMatrixRef,-$AA15+1,AB15-1),"")</f>
        <v/>
      </c>
      <c r="AG15" s="9" t="str">
        <f ca="1">IF(AND(ISNUMBER(AC15),ISNUMBER($AA15)),OFFSET(RiskMatrixRef,-$AA15+1,AC15-1),"")</f>
        <v/>
      </c>
      <c r="AH15" s="9" t="str">
        <f ca="1">IF(AND(ISNUMBER(AD15),ISNUMBER($AA15)),OFFSET(RiskMatrixRef,-$AA15+1,AD15-1),"")</f>
        <v/>
      </c>
      <c r="AI15" s="13" t="str">
        <f ca="1">IF(AND(ISNUMBER(AE15),ISNUMBER($AA15)),OFFSET(RiskMatrixRef,-$AA15+1,AE15-1),"")</f>
        <v/>
      </c>
      <c r="AJ15" s="21"/>
      <c r="AK15" s="21"/>
      <c r="AL15" s="21"/>
      <c r="AM15" s="25"/>
      <c r="AN15" s="8"/>
      <c r="AO15" s="12"/>
      <c r="AP15" s="12"/>
      <c r="AQ15" s="4"/>
      <c r="AR15" s="15" t="str">
        <f ca="1">IF(AND(ISNUMBER(AN15),ISNUMBER($AM15)),OFFSET(RiskMatrixRef,-$AM15+1,AN15-1),"")</f>
        <v/>
      </c>
      <c r="AS15" s="9" t="str">
        <f ca="1">IF(AND(ISNUMBER(AO15),ISNUMBER($AM15)),OFFSET(RiskMatrixRef,-$AM15+1,AO15-1),"")</f>
        <v/>
      </c>
      <c r="AT15" s="9" t="str">
        <f ca="1">IF(AND(ISNUMBER(AP15),ISNUMBER($AM15)),OFFSET(RiskMatrixRef,-$AM15+1,AP15-1),"")</f>
        <v/>
      </c>
      <c r="AU15" s="13" t="str">
        <f ca="1">IF(AND(ISNUMBER(AQ15),ISNUMBER($AM15)),OFFSET(RiskMatrixRef,-$AM15+1,AQ15-1),"")</f>
        <v/>
      </c>
      <c r="AV15" s="26"/>
      <c r="AW15" s="146" t="s">
        <v>206</v>
      </c>
      <c r="AX15" s="148"/>
    </row>
    <row r="16" spans="1:50" ht="137.25" customHeight="1" x14ac:dyDescent="0.25">
      <c r="B16" s="122" t="s">
        <v>95</v>
      </c>
      <c r="C16" s="101" t="s">
        <v>107</v>
      </c>
      <c r="D16" s="101" t="s">
        <v>109</v>
      </c>
      <c r="E16" s="103">
        <v>2</v>
      </c>
      <c r="F16" s="101" t="s">
        <v>56</v>
      </c>
      <c r="G16" s="101" t="s">
        <v>50</v>
      </c>
      <c r="H16" s="101" t="s">
        <v>102</v>
      </c>
      <c r="I16" s="134" t="s">
        <v>318</v>
      </c>
      <c r="J16" s="101" t="s">
        <v>40</v>
      </c>
      <c r="K16" s="101" t="s">
        <v>319</v>
      </c>
      <c r="L16" s="101" t="s">
        <v>53</v>
      </c>
      <c r="M16" s="101" t="s">
        <v>157</v>
      </c>
      <c r="N16" s="101" t="s">
        <v>320</v>
      </c>
      <c r="O16" s="104">
        <v>9</v>
      </c>
      <c r="P16" s="105">
        <v>1</v>
      </c>
      <c r="Q16" s="106">
        <v>1</v>
      </c>
      <c r="R16" s="135">
        <v>2</v>
      </c>
      <c r="S16" s="107">
        <v>2</v>
      </c>
      <c r="T16" s="15" t="str">
        <f t="shared" ca="1" si="12"/>
        <v>Low</v>
      </c>
      <c r="U16" s="9" t="str">
        <f t="shared" ca="1" si="13"/>
        <v>Low</v>
      </c>
      <c r="V16" s="9" t="str">
        <f t="shared" ca="1" si="14"/>
        <v>Low</v>
      </c>
      <c r="W16" s="13" t="str">
        <f t="shared" ca="1" si="15"/>
        <v>Low</v>
      </c>
      <c r="X16" s="111"/>
      <c r="Y16" s="111"/>
      <c r="Z16" s="111"/>
      <c r="AA16" s="104"/>
      <c r="AB16" s="105"/>
      <c r="AC16" s="106"/>
      <c r="AD16" s="106"/>
      <c r="AE16" s="107"/>
      <c r="AF16" s="108" t="str">
        <f t="shared" ref="AF16:AF31" ca="1" si="64">IF(AND(ISNUMBER(AB16),ISNUMBER($AA16)),OFFSET(RiskMatrixRef,-$AA16+1,AB16-1),"")</f>
        <v/>
      </c>
      <c r="AG16" s="109" t="str">
        <f t="shared" ref="AG16:AG31" ca="1" si="65">IF(AND(ISNUMBER(AC16),ISNUMBER($AA16)),OFFSET(RiskMatrixRef,-$AA16+1,AC16-1),"")</f>
        <v/>
      </c>
      <c r="AH16" s="109" t="str">
        <f t="shared" ref="AH16:AH31" ca="1" si="66">IF(AND(ISNUMBER(AD16),ISNUMBER($AA16)),OFFSET(RiskMatrixRef,-$AA16+1,AD16-1),"")</f>
        <v/>
      </c>
      <c r="AI16" s="110" t="str">
        <f t="shared" ref="AI16:AI31" ca="1" si="67">IF(AND(ISNUMBER(AE16),ISNUMBER($AA16)),OFFSET(RiskMatrixRef,-$AA16+1,AE16-1),"")</f>
        <v/>
      </c>
      <c r="AJ16" s="111"/>
      <c r="AK16" s="111"/>
      <c r="AL16" s="111"/>
      <c r="AM16" s="104"/>
      <c r="AN16" s="105"/>
      <c r="AO16" s="106"/>
      <c r="AP16" s="106"/>
      <c r="AQ16" s="107"/>
      <c r="AR16" s="108" t="str">
        <f t="shared" ref="AR16:AR31" ca="1" si="68">IF(AND(ISNUMBER(AN16),ISNUMBER($AM16)),OFFSET(RiskMatrixRef,-$AM16+1,AN16-1),"")</f>
        <v/>
      </c>
      <c r="AS16" s="109" t="str">
        <f t="shared" ref="AS16:AS31" ca="1" si="69">IF(AND(ISNUMBER(AO16),ISNUMBER($AM16)),OFFSET(RiskMatrixRef,-$AM16+1,AO16-1),"")</f>
        <v/>
      </c>
      <c r="AT16" s="109" t="str">
        <f t="shared" ref="AT16:AT31" ca="1" si="70">IF(AND(ISNUMBER(AP16),ISNUMBER($AM16)),OFFSET(RiskMatrixRef,-$AM16+1,AP16-1),"")</f>
        <v/>
      </c>
      <c r="AU16" s="110" t="str">
        <f t="shared" ref="AU16:AU31" ca="1" si="71">IF(AND(ISNUMBER(AQ16),ISNUMBER($AM16)),OFFSET(RiskMatrixRef,-$AM16+1,AQ16-1),"")</f>
        <v/>
      </c>
      <c r="AV16" s="112"/>
      <c r="AW16" s="143" t="s">
        <v>324</v>
      </c>
      <c r="AX16" s="148" t="s">
        <v>286</v>
      </c>
    </row>
    <row r="17" spans="2:50" ht="105" x14ac:dyDescent="0.25">
      <c r="B17" s="119" t="s">
        <v>96</v>
      </c>
      <c r="C17" s="36" t="s">
        <v>215</v>
      </c>
      <c r="D17" s="36" t="s">
        <v>103</v>
      </c>
      <c r="E17" s="1">
        <v>1</v>
      </c>
      <c r="F17" s="36" t="s">
        <v>41</v>
      </c>
      <c r="G17" s="36" t="s">
        <v>50</v>
      </c>
      <c r="H17" s="36" t="s">
        <v>119</v>
      </c>
      <c r="I17" s="36" t="s">
        <v>51</v>
      </c>
      <c r="J17" s="63" t="s">
        <v>40</v>
      </c>
      <c r="K17" s="138" t="s">
        <v>322</v>
      </c>
      <c r="L17" s="63" t="s">
        <v>53</v>
      </c>
      <c r="M17" s="36" t="s">
        <v>156</v>
      </c>
      <c r="N17" s="36" t="s">
        <v>320</v>
      </c>
      <c r="O17" s="25">
        <v>8</v>
      </c>
      <c r="P17" s="114">
        <v>1</v>
      </c>
      <c r="Q17" s="115">
        <v>1</v>
      </c>
      <c r="R17" s="115">
        <v>3</v>
      </c>
      <c r="S17" s="116">
        <v>3</v>
      </c>
      <c r="T17" s="15" t="str">
        <f t="shared" ca="1" si="12"/>
        <v>Low</v>
      </c>
      <c r="U17" s="9" t="str">
        <f t="shared" ca="1" si="13"/>
        <v>Low</v>
      </c>
      <c r="V17" s="9" t="str">
        <f t="shared" ca="1" si="14"/>
        <v>Low</v>
      </c>
      <c r="W17" s="13" t="str">
        <f t="shared" ca="1" si="15"/>
        <v>Low</v>
      </c>
      <c r="X17" s="21"/>
      <c r="Y17" s="21"/>
      <c r="Z17" s="21"/>
      <c r="AA17" s="25"/>
      <c r="AB17" s="8"/>
      <c r="AC17" s="12"/>
      <c r="AD17" s="12"/>
      <c r="AE17" s="4"/>
      <c r="AF17" s="15" t="str">
        <f t="shared" ca="1" si="64"/>
        <v/>
      </c>
      <c r="AG17" s="9" t="str">
        <f t="shared" ca="1" si="65"/>
        <v/>
      </c>
      <c r="AH17" s="9" t="str">
        <f t="shared" ca="1" si="66"/>
        <v/>
      </c>
      <c r="AI17" s="13" t="str">
        <f t="shared" ca="1" si="67"/>
        <v/>
      </c>
      <c r="AJ17" s="21"/>
      <c r="AK17" s="21"/>
      <c r="AL17" s="21"/>
      <c r="AM17" s="25"/>
      <c r="AN17" s="8"/>
      <c r="AO17" s="12"/>
      <c r="AP17" s="12"/>
      <c r="AQ17" s="4"/>
      <c r="AR17" s="15" t="str">
        <f t="shared" ca="1" si="68"/>
        <v/>
      </c>
      <c r="AS17" s="9" t="str">
        <f t="shared" ca="1" si="69"/>
        <v/>
      </c>
      <c r="AT17" s="9" t="str">
        <f t="shared" ca="1" si="70"/>
        <v/>
      </c>
      <c r="AU17" s="13" t="str">
        <f t="shared" ca="1" si="71"/>
        <v/>
      </c>
      <c r="AV17" s="26"/>
      <c r="AW17" s="143" t="s">
        <v>321</v>
      </c>
      <c r="AX17" s="148" t="s">
        <v>282</v>
      </c>
    </row>
    <row r="18" spans="2:50" ht="30" x14ac:dyDescent="0.25">
      <c r="B18" s="122" t="s">
        <v>97</v>
      </c>
      <c r="C18" s="101" t="s">
        <v>104</v>
      </c>
      <c r="D18" s="101" t="s">
        <v>105</v>
      </c>
      <c r="E18" s="103">
        <v>1</v>
      </c>
      <c r="F18" s="101" t="s">
        <v>41</v>
      </c>
      <c r="G18" s="101" t="s">
        <v>50</v>
      </c>
      <c r="H18" s="101" t="s">
        <v>120</v>
      </c>
      <c r="I18" s="101" t="s">
        <v>51</v>
      </c>
      <c r="J18" s="101" t="s">
        <v>40</v>
      </c>
      <c r="K18" s="101" t="s">
        <v>216</v>
      </c>
      <c r="L18" s="101" t="s">
        <v>53</v>
      </c>
      <c r="M18" s="101" t="s">
        <v>217</v>
      </c>
      <c r="N18" s="101" t="s">
        <v>290</v>
      </c>
      <c r="O18" s="104">
        <v>8</v>
      </c>
      <c r="P18" s="105">
        <v>1</v>
      </c>
      <c r="Q18" s="106">
        <v>1</v>
      </c>
      <c r="R18" s="106">
        <v>3</v>
      </c>
      <c r="S18" s="139">
        <v>3</v>
      </c>
      <c r="T18" s="15" t="str">
        <f t="shared" ca="1" si="12"/>
        <v>Low</v>
      </c>
      <c r="U18" s="9" t="str">
        <f t="shared" ca="1" si="13"/>
        <v>Low</v>
      </c>
      <c r="V18" s="9" t="str">
        <f t="shared" ca="1" si="14"/>
        <v>Low</v>
      </c>
      <c r="W18" s="13" t="str">
        <f t="shared" ca="1" si="15"/>
        <v>Low</v>
      </c>
      <c r="X18" s="111"/>
      <c r="Y18" s="111"/>
      <c r="Z18" s="111"/>
      <c r="AA18" s="104"/>
      <c r="AB18" s="105"/>
      <c r="AC18" s="106"/>
      <c r="AD18" s="106"/>
      <c r="AE18" s="107"/>
      <c r="AF18" s="108" t="str">
        <f t="shared" ca="1" si="64"/>
        <v/>
      </c>
      <c r="AG18" s="109" t="str">
        <f t="shared" ca="1" si="65"/>
        <v/>
      </c>
      <c r="AH18" s="109" t="str">
        <f t="shared" ca="1" si="66"/>
        <v/>
      </c>
      <c r="AI18" s="110" t="str">
        <f t="shared" ca="1" si="67"/>
        <v/>
      </c>
      <c r="AJ18" s="111"/>
      <c r="AK18" s="111"/>
      <c r="AL18" s="111"/>
      <c r="AM18" s="104"/>
      <c r="AN18" s="105"/>
      <c r="AO18" s="106"/>
      <c r="AP18" s="106"/>
      <c r="AQ18" s="107"/>
      <c r="AR18" s="108" t="str">
        <f t="shared" ca="1" si="68"/>
        <v/>
      </c>
      <c r="AS18" s="109" t="str">
        <f t="shared" ca="1" si="69"/>
        <v/>
      </c>
      <c r="AT18" s="109" t="str">
        <f t="shared" ca="1" si="70"/>
        <v/>
      </c>
      <c r="AU18" s="110" t="str">
        <f t="shared" ca="1" si="71"/>
        <v/>
      </c>
      <c r="AV18" s="112"/>
      <c r="AW18" s="145"/>
      <c r="AX18" s="148" t="s">
        <v>282</v>
      </c>
    </row>
    <row r="19" spans="2:50" ht="45" x14ac:dyDescent="0.25">
      <c r="B19" s="119" t="s">
        <v>98</v>
      </c>
      <c r="C19" s="36" t="s">
        <v>106</v>
      </c>
      <c r="D19" s="36" t="s">
        <v>108</v>
      </c>
      <c r="E19" s="1">
        <v>2</v>
      </c>
      <c r="F19" s="36" t="s">
        <v>56</v>
      </c>
      <c r="G19" s="36" t="s">
        <v>50</v>
      </c>
      <c r="H19" s="36" t="s">
        <v>121</v>
      </c>
      <c r="I19" s="36" t="s">
        <v>51</v>
      </c>
      <c r="J19" s="63" t="s">
        <v>40</v>
      </c>
      <c r="K19" s="36"/>
      <c r="L19" s="63" t="s">
        <v>53</v>
      </c>
      <c r="M19" s="36" t="s">
        <v>158</v>
      </c>
      <c r="N19" s="36" t="s">
        <v>290</v>
      </c>
      <c r="O19" s="140">
        <v>9</v>
      </c>
      <c r="P19" s="114">
        <v>1</v>
      </c>
      <c r="Q19" s="115">
        <v>1</v>
      </c>
      <c r="R19" s="135">
        <v>2</v>
      </c>
      <c r="S19" s="116">
        <v>2</v>
      </c>
      <c r="T19" s="15" t="str">
        <f t="shared" ca="1" si="12"/>
        <v>Low</v>
      </c>
      <c r="U19" s="9" t="str">
        <f t="shared" ca="1" si="13"/>
        <v>Low</v>
      </c>
      <c r="V19" s="9" t="str">
        <f t="shared" ca="1" si="14"/>
        <v>Low</v>
      </c>
      <c r="W19" s="13" t="str">
        <f t="shared" ca="1" si="15"/>
        <v>Low</v>
      </c>
      <c r="X19" s="21"/>
      <c r="Y19" s="21"/>
      <c r="Z19" s="21"/>
      <c r="AA19" s="25"/>
      <c r="AB19" s="8"/>
      <c r="AC19" s="12"/>
      <c r="AD19" s="12"/>
      <c r="AE19" s="4"/>
      <c r="AF19" s="15" t="str">
        <f t="shared" ref="AF19" ca="1" si="72">IF(AND(ISNUMBER(AB19),ISNUMBER($AA19)),OFFSET(RiskMatrixRef,-$AA19+1,AB19-1),"")</f>
        <v/>
      </c>
      <c r="AG19" s="9" t="str">
        <f t="shared" ref="AG19" ca="1" si="73">IF(AND(ISNUMBER(AC19),ISNUMBER($AA19)),OFFSET(RiskMatrixRef,-$AA19+1,AC19-1),"")</f>
        <v/>
      </c>
      <c r="AH19" s="9" t="str">
        <f t="shared" ref="AH19" ca="1" si="74">IF(AND(ISNUMBER(AD19),ISNUMBER($AA19)),OFFSET(RiskMatrixRef,-$AA19+1,AD19-1),"")</f>
        <v/>
      </c>
      <c r="AI19" s="13" t="str">
        <f t="shared" ref="AI19" ca="1" si="75">IF(AND(ISNUMBER(AE19),ISNUMBER($AA19)),OFFSET(RiskMatrixRef,-$AA19+1,AE19-1),"")</f>
        <v/>
      </c>
      <c r="AJ19" s="21"/>
      <c r="AK19" s="21"/>
      <c r="AL19" s="21"/>
      <c r="AM19" s="25"/>
      <c r="AN19" s="8"/>
      <c r="AO19" s="12"/>
      <c r="AP19" s="12"/>
      <c r="AQ19" s="4"/>
      <c r="AR19" s="15" t="str">
        <f t="shared" ref="AR19" ca="1" si="76">IF(AND(ISNUMBER(AN19),ISNUMBER($AM19)),OFFSET(RiskMatrixRef,-$AM19+1,AN19-1),"")</f>
        <v/>
      </c>
      <c r="AS19" s="9" t="str">
        <f t="shared" ref="AS19" ca="1" si="77">IF(AND(ISNUMBER(AO19),ISNUMBER($AM19)),OFFSET(RiskMatrixRef,-$AM19+1,AO19-1),"")</f>
        <v/>
      </c>
      <c r="AT19" s="9" t="str">
        <f t="shared" ref="AT19" ca="1" si="78">IF(AND(ISNUMBER(AP19),ISNUMBER($AM19)),OFFSET(RiskMatrixRef,-$AM19+1,AP19-1),"")</f>
        <v/>
      </c>
      <c r="AU19" s="13" t="str">
        <f t="shared" ref="AU19" ca="1" si="79">IF(AND(ISNUMBER(AQ19),ISNUMBER($AM19)),OFFSET(RiskMatrixRef,-$AM19+1,AQ19-1),"")</f>
        <v/>
      </c>
      <c r="AV19" s="26"/>
      <c r="AW19" s="143" t="s">
        <v>325</v>
      </c>
      <c r="AX19" s="148" t="s">
        <v>282</v>
      </c>
    </row>
    <row r="20" spans="2:50" ht="45" x14ac:dyDescent="0.25">
      <c r="B20" s="122" t="s">
        <v>99</v>
      </c>
      <c r="C20" s="101" t="s">
        <v>110</v>
      </c>
      <c r="D20" s="101" t="s">
        <v>130</v>
      </c>
      <c r="E20" s="126">
        <v>2</v>
      </c>
      <c r="F20" s="125" t="s">
        <v>327</v>
      </c>
      <c r="G20" s="101" t="s">
        <v>50</v>
      </c>
      <c r="H20" s="101" t="s">
        <v>118</v>
      </c>
      <c r="I20" s="101" t="s">
        <v>51</v>
      </c>
      <c r="J20" s="101" t="s">
        <v>40</v>
      </c>
      <c r="K20" s="101" t="s">
        <v>218</v>
      </c>
      <c r="L20" s="101" t="s">
        <v>53</v>
      </c>
      <c r="M20" s="101" t="s">
        <v>159</v>
      </c>
      <c r="N20" s="101" t="s">
        <v>290</v>
      </c>
      <c r="O20" s="137">
        <v>8</v>
      </c>
      <c r="P20" s="105">
        <v>1</v>
      </c>
      <c r="Q20" s="106">
        <v>1</v>
      </c>
      <c r="R20" s="106">
        <v>2</v>
      </c>
      <c r="S20" s="107">
        <v>1</v>
      </c>
      <c r="T20" s="15" t="str">
        <f t="shared" ca="1" si="12"/>
        <v>Low</v>
      </c>
      <c r="U20" s="9" t="str">
        <f t="shared" ca="1" si="13"/>
        <v>Low</v>
      </c>
      <c r="V20" s="9" t="str">
        <f t="shared" ca="1" si="14"/>
        <v>Low</v>
      </c>
      <c r="W20" s="13" t="str">
        <f t="shared" ca="1" si="15"/>
        <v>Low</v>
      </c>
      <c r="X20" s="111"/>
      <c r="Y20" s="111"/>
      <c r="Z20" s="111"/>
      <c r="AA20" s="104"/>
      <c r="AB20" s="105"/>
      <c r="AC20" s="106"/>
      <c r="AD20" s="106"/>
      <c r="AE20" s="107"/>
      <c r="AF20" s="108" t="str">
        <f t="shared" ca="1" si="64"/>
        <v/>
      </c>
      <c r="AG20" s="109" t="str">
        <f t="shared" ca="1" si="65"/>
        <v/>
      </c>
      <c r="AH20" s="109" t="str">
        <f t="shared" ca="1" si="66"/>
        <v/>
      </c>
      <c r="AI20" s="110" t="str">
        <f t="shared" ca="1" si="67"/>
        <v/>
      </c>
      <c r="AJ20" s="111"/>
      <c r="AK20" s="111"/>
      <c r="AL20" s="111"/>
      <c r="AM20" s="104"/>
      <c r="AN20" s="105"/>
      <c r="AO20" s="106"/>
      <c r="AP20" s="106"/>
      <c r="AQ20" s="107"/>
      <c r="AR20" s="108" t="str">
        <f t="shared" ca="1" si="68"/>
        <v/>
      </c>
      <c r="AS20" s="109" t="str">
        <f t="shared" ca="1" si="69"/>
        <v/>
      </c>
      <c r="AT20" s="109" t="str">
        <f t="shared" ca="1" si="70"/>
        <v/>
      </c>
      <c r="AU20" s="110" t="str">
        <f t="shared" ca="1" si="71"/>
        <v/>
      </c>
      <c r="AV20" s="112"/>
      <c r="AW20" s="143" t="s">
        <v>326</v>
      </c>
      <c r="AX20" s="148" t="s">
        <v>282</v>
      </c>
    </row>
    <row r="21" spans="2:50" ht="45" x14ac:dyDescent="0.25">
      <c r="B21" s="119" t="s">
        <v>100</v>
      </c>
      <c r="C21" s="36" t="s">
        <v>111</v>
      </c>
      <c r="D21" s="36" t="s">
        <v>131</v>
      </c>
      <c r="E21" s="127">
        <v>2</v>
      </c>
      <c r="F21" s="128" t="s">
        <v>327</v>
      </c>
      <c r="G21" s="36" t="s">
        <v>50</v>
      </c>
      <c r="H21" s="36" t="s">
        <v>122</v>
      </c>
      <c r="I21" s="36" t="s">
        <v>51</v>
      </c>
      <c r="J21" s="63" t="s">
        <v>40</v>
      </c>
      <c r="K21" s="36"/>
      <c r="L21" s="63" t="s">
        <v>53</v>
      </c>
      <c r="M21" s="36" t="s">
        <v>160</v>
      </c>
      <c r="N21" s="36" t="s">
        <v>42</v>
      </c>
      <c r="O21" s="25">
        <v>8</v>
      </c>
      <c r="P21" s="114">
        <v>1</v>
      </c>
      <c r="Q21" s="115">
        <v>1</v>
      </c>
      <c r="R21" s="135">
        <v>2</v>
      </c>
      <c r="S21" s="116">
        <v>1</v>
      </c>
      <c r="T21" s="15" t="str">
        <f t="shared" ca="1" si="12"/>
        <v>Low</v>
      </c>
      <c r="U21" s="9" t="str">
        <f t="shared" ca="1" si="13"/>
        <v>Low</v>
      </c>
      <c r="V21" s="9" t="str">
        <f t="shared" ca="1" si="14"/>
        <v>Low</v>
      </c>
      <c r="W21" s="13" t="str">
        <f t="shared" ca="1" si="15"/>
        <v>Low</v>
      </c>
      <c r="X21" s="21"/>
      <c r="Y21" s="21"/>
      <c r="Z21" s="21"/>
      <c r="AA21" s="25"/>
      <c r="AB21" s="8"/>
      <c r="AC21" s="12"/>
      <c r="AD21" s="12"/>
      <c r="AE21" s="4"/>
      <c r="AF21" s="15" t="str">
        <f t="shared" ref="AF21" ca="1" si="80">IF(AND(ISNUMBER(AB21),ISNUMBER($AA21)),OFFSET(RiskMatrixRef,-$AA21+1,AB21-1),"")</f>
        <v/>
      </c>
      <c r="AG21" s="9" t="str">
        <f t="shared" ref="AG21" ca="1" si="81">IF(AND(ISNUMBER(AC21),ISNUMBER($AA21)),OFFSET(RiskMatrixRef,-$AA21+1,AC21-1),"")</f>
        <v/>
      </c>
      <c r="AH21" s="9" t="str">
        <f t="shared" ref="AH21" ca="1" si="82">IF(AND(ISNUMBER(AD21),ISNUMBER($AA21)),OFFSET(RiskMatrixRef,-$AA21+1,AD21-1),"")</f>
        <v/>
      </c>
      <c r="AI21" s="13" t="str">
        <f t="shared" ref="AI21" ca="1" si="83">IF(AND(ISNUMBER(AE21),ISNUMBER($AA21)),OFFSET(RiskMatrixRef,-$AA21+1,AE21-1),"")</f>
        <v/>
      </c>
      <c r="AJ21" s="21"/>
      <c r="AK21" s="21"/>
      <c r="AL21" s="21"/>
      <c r="AM21" s="25"/>
      <c r="AN21" s="8"/>
      <c r="AO21" s="12"/>
      <c r="AP21" s="12"/>
      <c r="AQ21" s="4"/>
      <c r="AR21" s="15" t="str">
        <f t="shared" ref="AR21" ca="1" si="84">IF(AND(ISNUMBER(AN21),ISNUMBER($AM21)),OFFSET(RiskMatrixRef,-$AM21+1,AN21-1),"")</f>
        <v/>
      </c>
      <c r="AS21" s="9" t="str">
        <f t="shared" ref="AS21" ca="1" si="85">IF(AND(ISNUMBER(AO21),ISNUMBER($AM21)),OFFSET(RiskMatrixRef,-$AM21+1,AO21-1),"")</f>
        <v/>
      </c>
      <c r="AT21" s="9" t="str">
        <f t="shared" ref="AT21" ca="1" si="86">IF(AND(ISNUMBER(AP21),ISNUMBER($AM21)),OFFSET(RiskMatrixRef,-$AM21+1,AP21-1),"")</f>
        <v/>
      </c>
      <c r="AU21" s="13" t="str">
        <f t="shared" ref="AU21" ca="1" si="87">IF(AND(ISNUMBER(AQ21),ISNUMBER($AM21)),OFFSET(RiskMatrixRef,-$AM21+1,AQ21-1),"")</f>
        <v/>
      </c>
      <c r="AV21" s="26"/>
      <c r="AW21" s="143" t="s">
        <v>326</v>
      </c>
      <c r="AX21" s="148" t="s">
        <v>282</v>
      </c>
    </row>
    <row r="22" spans="2:50" ht="45" x14ac:dyDescent="0.25">
      <c r="B22" s="122" t="s">
        <v>101</v>
      </c>
      <c r="C22" s="101" t="s">
        <v>219</v>
      </c>
      <c r="D22" s="101" t="s">
        <v>132</v>
      </c>
      <c r="E22" s="126">
        <v>2</v>
      </c>
      <c r="F22" s="125" t="s">
        <v>327</v>
      </c>
      <c r="G22" s="101" t="s">
        <v>50</v>
      </c>
      <c r="H22" s="101" t="s">
        <v>210</v>
      </c>
      <c r="I22" s="101" t="s">
        <v>51</v>
      </c>
      <c r="J22" s="101" t="s">
        <v>40</v>
      </c>
      <c r="K22" s="101"/>
      <c r="L22" s="101" t="s">
        <v>53</v>
      </c>
      <c r="M22" s="101" t="s">
        <v>161</v>
      </c>
      <c r="N22" s="101" t="s">
        <v>42</v>
      </c>
      <c r="O22" s="104">
        <v>8</v>
      </c>
      <c r="P22" s="105">
        <v>1</v>
      </c>
      <c r="Q22" s="106">
        <v>1</v>
      </c>
      <c r="R22" s="135">
        <v>2</v>
      </c>
      <c r="S22" s="107">
        <v>1</v>
      </c>
      <c r="T22" s="15" t="str">
        <f t="shared" ca="1" si="12"/>
        <v>Low</v>
      </c>
      <c r="U22" s="9" t="str">
        <f t="shared" ca="1" si="13"/>
        <v>Low</v>
      </c>
      <c r="V22" s="9" t="str">
        <f t="shared" ca="1" si="14"/>
        <v>Low</v>
      </c>
      <c r="W22" s="13" t="str">
        <f t="shared" ca="1" si="15"/>
        <v>Low</v>
      </c>
      <c r="X22" s="111"/>
      <c r="Y22" s="111"/>
      <c r="Z22" s="111"/>
      <c r="AA22" s="104"/>
      <c r="AB22" s="105"/>
      <c r="AC22" s="106"/>
      <c r="AD22" s="106"/>
      <c r="AE22" s="107"/>
      <c r="AF22" s="108" t="str">
        <f t="shared" ca="1" si="64"/>
        <v/>
      </c>
      <c r="AG22" s="109" t="str">
        <f t="shared" ca="1" si="65"/>
        <v/>
      </c>
      <c r="AH22" s="109" t="str">
        <f t="shared" ca="1" si="66"/>
        <v/>
      </c>
      <c r="AI22" s="110" t="str">
        <f t="shared" ca="1" si="67"/>
        <v/>
      </c>
      <c r="AJ22" s="111"/>
      <c r="AK22" s="111"/>
      <c r="AL22" s="111"/>
      <c r="AM22" s="104"/>
      <c r="AN22" s="105"/>
      <c r="AO22" s="106"/>
      <c r="AP22" s="106"/>
      <c r="AQ22" s="107"/>
      <c r="AR22" s="108" t="str">
        <f t="shared" ca="1" si="68"/>
        <v/>
      </c>
      <c r="AS22" s="109" t="str">
        <f t="shared" ca="1" si="69"/>
        <v/>
      </c>
      <c r="AT22" s="109" t="str">
        <f t="shared" ca="1" si="70"/>
        <v/>
      </c>
      <c r="AU22" s="110" t="str">
        <f t="shared" ca="1" si="71"/>
        <v/>
      </c>
      <c r="AV22" s="112"/>
      <c r="AW22" s="143" t="s">
        <v>326</v>
      </c>
      <c r="AX22" s="148" t="s">
        <v>282</v>
      </c>
    </row>
    <row r="23" spans="2:50" ht="45" x14ac:dyDescent="0.25">
      <c r="B23" s="119" t="s">
        <v>142</v>
      </c>
      <c r="C23" s="36" t="s">
        <v>220</v>
      </c>
      <c r="D23" s="36" t="s">
        <v>133</v>
      </c>
      <c r="E23" s="127">
        <v>2</v>
      </c>
      <c r="F23" s="128" t="s">
        <v>327</v>
      </c>
      <c r="G23" s="36" t="s">
        <v>50</v>
      </c>
      <c r="H23" s="36" t="s">
        <v>211</v>
      </c>
      <c r="I23" s="36" t="s">
        <v>51</v>
      </c>
      <c r="J23" s="63" t="s">
        <v>40</v>
      </c>
      <c r="K23" s="36"/>
      <c r="L23" s="63" t="s">
        <v>53</v>
      </c>
      <c r="M23" s="36" t="s">
        <v>162</v>
      </c>
      <c r="N23" s="36" t="s">
        <v>42</v>
      </c>
      <c r="O23" s="25">
        <v>8</v>
      </c>
      <c r="P23" s="114">
        <v>1</v>
      </c>
      <c r="Q23" s="115">
        <v>1</v>
      </c>
      <c r="R23" s="135">
        <v>2</v>
      </c>
      <c r="S23" s="116">
        <v>1</v>
      </c>
      <c r="T23" s="15" t="str">
        <f t="shared" ca="1" si="12"/>
        <v>Low</v>
      </c>
      <c r="U23" s="9" t="str">
        <f t="shared" ca="1" si="13"/>
        <v>Low</v>
      </c>
      <c r="V23" s="9" t="str">
        <f t="shared" ca="1" si="14"/>
        <v>Low</v>
      </c>
      <c r="W23" s="13" t="str">
        <f t="shared" ca="1" si="15"/>
        <v>Low</v>
      </c>
      <c r="X23" s="21"/>
      <c r="Y23" s="21"/>
      <c r="Z23" s="21"/>
      <c r="AA23" s="25"/>
      <c r="AB23" s="8"/>
      <c r="AC23" s="12"/>
      <c r="AD23" s="12"/>
      <c r="AE23" s="4"/>
      <c r="AF23" s="15" t="str">
        <f t="shared" ref="AF23:AF24" ca="1" si="88">IF(AND(ISNUMBER(AB23),ISNUMBER($AA23)),OFFSET(RiskMatrixRef,-$AA23+1,AB23-1),"")</f>
        <v/>
      </c>
      <c r="AG23" s="9" t="str">
        <f t="shared" ref="AG23:AG24" ca="1" si="89">IF(AND(ISNUMBER(AC23),ISNUMBER($AA23)),OFFSET(RiskMatrixRef,-$AA23+1,AC23-1),"")</f>
        <v/>
      </c>
      <c r="AH23" s="9" t="str">
        <f t="shared" ref="AH23:AH24" ca="1" si="90">IF(AND(ISNUMBER(AD23),ISNUMBER($AA23)),OFFSET(RiskMatrixRef,-$AA23+1,AD23-1),"")</f>
        <v/>
      </c>
      <c r="AI23" s="13" t="str">
        <f t="shared" ref="AI23:AI24" ca="1" si="91">IF(AND(ISNUMBER(AE23),ISNUMBER($AA23)),OFFSET(RiskMatrixRef,-$AA23+1,AE23-1),"")</f>
        <v/>
      </c>
      <c r="AJ23" s="21"/>
      <c r="AK23" s="21"/>
      <c r="AL23" s="21"/>
      <c r="AM23" s="25"/>
      <c r="AN23" s="8"/>
      <c r="AO23" s="12"/>
      <c r="AP23" s="12"/>
      <c r="AQ23" s="4"/>
      <c r="AR23" s="15" t="str">
        <f t="shared" ref="AR23:AR24" ca="1" si="92">IF(AND(ISNUMBER(AN23),ISNUMBER($AM23)),OFFSET(RiskMatrixRef,-$AM23+1,AN23-1),"")</f>
        <v/>
      </c>
      <c r="AS23" s="9" t="str">
        <f t="shared" ref="AS23:AS24" ca="1" si="93">IF(AND(ISNUMBER(AO23),ISNUMBER($AM23)),OFFSET(RiskMatrixRef,-$AM23+1,AO23-1),"")</f>
        <v/>
      </c>
      <c r="AT23" s="9" t="str">
        <f t="shared" ref="AT23:AT24" ca="1" si="94">IF(AND(ISNUMBER(AP23),ISNUMBER($AM23)),OFFSET(RiskMatrixRef,-$AM23+1,AP23-1),"")</f>
        <v/>
      </c>
      <c r="AU23" s="13" t="str">
        <f t="shared" ref="AU23:AU24" ca="1" si="95">IF(AND(ISNUMBER(AQ23),ISNUMBER($AM23)),OFFSET(RiskMatrixRef,-$AM23+1,AQ23-1),"")</f>
        <v/>
      </c>
      <c r="AV23" s="26"/>
      <c r="AW23" s="143" t="s">
        <v>326</v>
      </c>
      <c r="AX23" s="148" t="s">
        <v>282</v>
      </c>
    </row>
    <row r="24" spans="2:50" ht="45" x14ac:dyDescent="0.25">
      <c r="B24" s="122" t="s">
        <v>143</v>
      </c>
      <c r="C24" s="101" t="s">
        <v>112</v>
      </c>
      <c r="D24" s="101" t="s">
        <v>134</v>
      </c>
      <c r="E24" s="126">
        <v>2</v>
      </c>
      <c r="F24" s="125" t="s">
        <v>327</v>
      </c>
      <c r="G24" s="101" t="s">
        <v>50</v>
      </c>
      <c r="H24" s="101" t="s">
        <v>123</v>
      </c>
      <c r="I24" s="101" t="s">
        <v>51</v>
      </c>
      <c r="J24" s="101" t="s">
        <v>40</v>
      </c>
      <c r="K24" s="101"/>
      <c r="L24" s="101" t="s">
        <v>53</v>
      </c>
      <c r="M24" s="101" t="s">
        <v>163</v>
      </c>
      <c r="N24" s="101" t="s">
        <v>42</v>
      </c>
      <c r="O24" s="104">
        <v>8</v>
      </c>
      <c r="P24" s="105">
        <v>1</v>
      </c>
      <c r="Q24" s="106">
        <v>1</v>
      </c>
      <c r="R24" s="135">
        <v>2</v>
      </c>
      <c r="S24" s="107">
        <v>1</v>
      </c>
      <c r="T24" s="15" t="str">
        <f t="shared" ca="1" si="12"/>
        <v>Low</v>
      </c>
      <c r="U24" s="9" t="str">
        <f t="shared" ca="1" si="13"/>
        <v>Low</v>
      </c>
      <c r="V24" s="9" t="str">
        <f t="shared" ca="1" si="14"/>
        <v>Low</v>
      </c>
      <c r="W24" s="13" t="str">
        <f t="shared" ca="1" si="15"/>
        <v>Low</v>
      </c>
      <c r="X24" s="111"/>
      <c r="Y24" s="111"/>
      <c r="Z24" s="111"/>
      <c r="AA24" s="104"/>
      <c r="AB24" s="105"/>
      <c r="AC24" s="106"/>
      <c r="AD24" s="106"/>
      <c r="AE24" s="107"/>
      <c r="AF24" s="108" t="str">
        <f t="shared" ca="1" si="88"/>
        <v/>
      </c>
      <c r="AG24" s="109" t="str">
        <f t="shared" ca="1" si="89"/>
        <v/>
      </c>
      <c r="AH24" s="109" t="str">
        <f t="shared" ca="1" si="90"/>
        <v/>
      </c>
      <c r="AI24" s="110" t="str">
        <f t="shared" ca="1" si="91"/>
        <v/>
      </c>
      <c r="AJ24" s="111"/>
      <c r="AK24" s="111"/>
      <c r="AL24" s="111"/>
      <c r="AM24" s="104"/>
      <c r="AN24" s="105"/>
      <c r="AO24" s="106"/>
      <c r="AP24" s="106"/>
      <c r="AQ24" s="107"/>
      <c r="AR24" s="108" t="str">
        <f t="shared" ca="1" si="92"/>
        <v/>
      </c>
      <c r="AS24" s="109" t="str">
        <f t="shared" ca="1" si="93"/>
        <v/>
      </c>
      <c r="AT24" s="109" t="str">
        <f t="shared" ca="1" si="94"/>
        <v/>
      </c>
      <c r="AU24" s="110" t="str">
        <f t="shared" ca="1" si="95"/>
        <v/>
      </c>
      <c r="AV24" s="112"/>
      <c r="AW24" s="143" t="s">
        <v>326</v>
      </c>
      <c r="AX24" s="148" t="s">
        <v>282</v>
      </c>
    </row>
    <row r="25" spans="2:50" ht="45" x14ac:dyDescent="0.25">
      <c r="B25" s="119" t="s">
        <v>144</v>
      </c>
      <c r="C25" s="36" t="s">
        <v>113</v>
      </c>
      <c r="D25" s="36" t="s">
        <v>135</v>
      </c>
      <c r="E25" s="127">
        <v>2</v>
      </c>
      <c r="F25" s="128" t="s">
        <v>327</v>
      </c>
      <c r="G25" s="36" t="s">
        <v>50</v>
      </c>
      <c r="H25" s="36" t="s">
        <v>124</v>
      </c>
      <c r="I25" s="36" t="s">
        <v>51</v>
      </c>
      <c r="J25" s="63" t="s">
        <v>40</v>
      </c>
      <c r="K25" s="36"/>
      <c r="L25" s="63" t="s">
        <v>53</v>
      </c>
      <c r="M25" s="36" t="s">
        <v>164</v>
      </c>
      <c r="N25" s="36" t="s">
        <v>42</v>
      </c>
      <c r="O25" s="25">
        <v>8</v>
      </c>
      <c r="P25" s="114">
        <v>1</v>
      </c>
      <c r="Q25" s="115">
        <v>1</v>
      </c>
      <c r="R25" s="135">
        <v>2</v>
      </c>
      <c r="S25" s="116">
        <v>1</v>
      </c>
      <c r="T25" s="15" t="str">
        <f t="shared" ca="1" si="12"/>
        <v>Low</v>
      </c>
      <c r="U25" s="9" t="str">
        <f t="shared" ca="1" si="13"/>
        <v>Low</v>
      </c>
      <c r="V25" s="9" t="str">
        <f t="shared" ca="1" si="14"/>
        <v>Low</v>
      </c>
      <c r="W25" s="13" t="str">
        <f t="shared" ca="1" si="15"/>
        <v>Low</v>
      </c>
      <c r="X25" s="21"/>
      <c r="Y25" s="21"/>
      <c r="Z25" s="21"/>
      <c r="AA25" s="25"/>
      <c r="AB25" s="8"/>
      <c r="AC25" s="12"/>
      <c r="AD25" s="12"/>
      <c r="AE25" s="4"/>
      <c r="AF25" s="15" t="str">
        <f t="shared" ref="AF25" ca="1" si="96">IF(AND(ISNUMBER(AB25),ISNUMBER($AA25)),OFFSET(RiskMatrixRef,-$AA25+1,AB25-1),"")</f>
        <v/>
      </c>
      <c r="AG25" s="9" t="str">
        <f t="shared" ref="AG25" ca="1" si="97">IF(AND(ISNUMBER(AC25),ISNUMBER($AA25)),OFFSET(RiskMatrixRef,-$AA25+1,AC25-1),"")</f>
        <v/>
      </c>
      <c r="AH25" s="9" t="str">
        <f t="shared" ref="AH25" ca="1" si="98">IF(AND(ISNUMBER(AD25),ISNUMBER($AA25)),OFFSET(RiskMatrixRef,-$AA25+1,AD25-1),"")</f>
        <v/>
      </c>
      <c r="AI25" s="13" t="str">
        <f t="shared" ref="AI25" ca="1" si="99">IF(AND(ISNUMBER(AE25),ISNUMBER($AA25)),OFFSET(RiskMatrixRef,-$AA25+1,AE25-1),"")</f>
        <v/>
      </c>
      <c r="AJ25" s="21"/>
      <c r="AK25" s="21"/>
      <c r="AL25" s="21"/>
      <c r="AM25" s="25"/>
      <c r="AN25" s="8"/>
      <c r="AO25" s="12"/>
      <c r="AP25" s="12"/>
      <c r="AQ25" s="4"/>
      <c r="AR25" s="15" t="str">
        <f t="shared" ref="AR25" ca="1" si="100">IF(AND(ISNUMBER(AN25),ISNUMBER($AM25)),OFFSET(RiskMatrixRef,-$AM25+1,AN25-1),"")</f>
        <v/>
      </c>
      <c r="AS25" s="9" t="str">
        <f t="shared" ref="AS25" ca="1" si="101">IF(AND(ISNUMBER(AO25),ISNUMBER($AM25)),OFFSET(RiskMatrixRef,-$AM25+1,AO25-1),"")</f>
        <v/>
      </c>
      <c r="AT25" s="9" t="str">
        <f t="shared" ref="AT25" ca="1" si="102">IF(AND(ISNUMBER(AP25),ISNUMBER($AM25)),OFFSET(RiskMatrixRef,-$AM25+1,AP25-1),"")</f>
        <v/>
      </c>
      <c r="AU25" s="13" t="str">
        <f t="shared" ref="AU25" ca="1" si="103">IF(AND(ISNUMBER(AQ25),ISNUMBER($AM25)),OFFSET(RiskMatrixRef,-$AM25+1,AQ25-1),"")</f>
        <v/>
      </c>
      <c r="AV25" s="26"/>
      <c r="AW25" s="143" t="s">
        <v>326</v>
      </c>
      <c r="AX25" s="148" t="s">
        <v>282</v>
      </c>
    </row>
    <row r="26" spans="2:50" ht="45" x14ac:dyDescent="0.25">
      <c r="B26" s="122" t="s">
        <v>145</v>
      </c>
      <c r="C26" s="101" t="s">
        <v>221</v>
      </c>
      <c r="D26" s="101" t="s">
        <v>136</v>
      </c>
      <c r="E26" s="126">
        <v>2</v>
      </c>
      <c r="F26" s="125" t="s">
        <v>327</v>
      </c>
      <c r="G26" s="101" t="s">
        <v>50</v>
      </c>
      <c r="H26" s="101" t="s">
        <v>125</v>
      </c>
      <c r="I26" s="101" t="s">
        <v>51</v>
      </c>
      <c r="J26" s="101" t="s">
        <v>40</v>
      </c>
      <c r="K26" s="101"/>
      <c r="L26" s="101" t="s">
        <v>53</v>
      </c>
      <c r="M26" s="101" t="s">
        <v>165</v>
      </c>
      <c r="N26" s="101" t="s">
        <v>290</v>
      </c>
      <c r="O26" s="137">
        <v>8</v>
      </c>
      <c r="P26" s="105">
        <v>1</v>
      </c>
      <c r="Q26" s="106">
        <v>1</v>
      </c>
      <c r="R26" s="135">
        <v>2</v>
      </c>
      <c r="S26" s="107">
        <v>1</v>
      </c>
      <c r="T26" s="15" t="str">
        <f t="shared" ca="1" si="12"/>
        <v>Low</v>
      </c>
      <c r="U26" s="9" t="str">
        <f t="shared" ca="1" si="13"/>
        <v>Low</v>
      </c>
      <c r="V26" s="9" t="str">
        <f t="shared" ca="1" si="14"/>
        <v>Low</v>
      </c>
      <c r="W26" s="13" t="str">
        <f t="shared" ca="1" si="15"/>
        <v>Low</v>
      </c>
      <c r="X26" s="111"/>
      <c r="Y26" s="111"/>
      <c r="Z26" s="111"/>
      <c r="AA26" s="104"/>
      <c r="AB26" s="105"/>
      <c r="AC26" s="106"/>
      <c r="AD26" s="106"/>
      <c r="AE26" s="107"/>
      <c r="AF26" s="108" t="str">
        <f t="shared" ref="AF26" ca="1" si="104">IF(AND(ISNUMBER(AB26),ISNUMBER($AA26)),OFFSET(RiskMatrixRef,-$AA26+1,AB26-1),"")</f>
        <v/>
      </c>
      <c r="AG26" s="109" t="str">
        <f t="shared" ref="AG26" ca="1" si="105">IF(AND(ISNUMBER(AC26),ISNUMBER($AA26)),OFFSET(RiskMatrixRef,-$AA26+1,AC26-1),"")</f>
        <v/>
      </c>
      <c r="AH26" s="109" t="str">
        <f t="shared" ref="AH26" ca="1" si="106">IF(AND(ISNUMBER(AD26),ISNUMBER($AA26)),OFFSET(RiskMatrixRef,-$AA26+1,AD26-1),"")</f>
        <v/>
      </c>
      <c r="AI26" s="110" t="str">
        <f t="shared" ref="AI26" ca="1" si="107">IF(AND(ISNUMBER(AE26),ISNUMBER($AA26)),OFFSET(RiskMatrixRef,-$AA26+1,AE26-1),"")</f>
        <v/>
      </c>
      <c r="AJ26" s="111"/>
      <c r="AK26" s="111"/>
      <c r="AL26" s="111"/>
      <c r="AM26" s="104"/>
      <c r="AN26" s="105"/>
      <c r="AO26" s="106"/>
      <c r="AP26" s="106"/>
      <c r="AQ26" s="107"/>
      <c r="AR26" s="108" t="str">
        <f t="shared" ref="AR26" ca="1" si="108">IF(AND(ISNUMBER(AN26),ISNUMBER($AM26)),OFFSET(RiskMatrixRef,-$AM26+1,AN26-1),"")</f>
        <v/>
      </c>
      <c r="AS26" s="109" t="str">
        <f t="shared" ref="AS26" ca="1" si="109">IF(AND(ISNUMBER(AO26),ISNUMBER($AM26)),OFFSET(RiskMatrixRef,-$AM26+1,AO26-1),"")</f>
        <v/>
      </c>
      <c r="AT26" s="109" t="str">
        <f t="shared" ref="AT26" ca="1" si="110">IF(AND(ISNUMBER(AP26),ISNUMBER($AM26)),OFFSET(RiskMatrixRef,-$AM26+1,AP26-1),"")</f>
        <v/>
      </c>
      <c r="AU26" s="110" t="str">
        <f t="shared" ref="AU26" ca="1" si="111">IF(AND(ISNUMBER(AQ26),ISNUMBER($AM26)),OFFSET(RiskMatrixRef,-$AM26+1,AQ26-1),"")</f>
        <v/>
      </c>
      <c r="AV26" s="112"/>
      <c r="AW26" s="143" t="s">
        <v>326</v>
      </c>
      <c r="AX26" s="148" t="s">
        <v>282</v>
      </c>
    </row>
    <row r="27" spans="2:50" ht="45" x14ac:dyDescent="0.25">
      <c r="B27" s="119" t="s">
        <v>146</v>
      </c>
      <c r="C27" s="36" t="s">
        <v>114</v>
      </c>
      <c r="D27" s="36" t="s">
        <v>137</v>
      </c>
      <c r="E27" s="127">
        <v>2</v>
      </c>
      <c r="F27" s="128" t="s">
        <v>327</v>
      </c>
      <c r="G27" s="36" t="s">
        <v>50</v>
      </c>
      <c r="H27" s="36" t="s">
        <v>126</v>
      </c>
      <c r="I27" s="36" t="s">
        <v>51</v>
      </c>
      <c r="J27" s="63" t="s">
        <v>40</v>
      </c>
      <c r="K27" s="36"/>
      <c r="L27" s="63" t="s">
        <v>53</v>
      </c>
      <c r="M27" s="36" t="s">
        <v>166</v>
      </c>
      <c r="N27" s="36" t="s">
        <v>42</v>
      </c>
      <c r="O27" s="25">
        <v>8</v>
      </c>
      <c r="P27" s="8">
        <v>1</v>
      </c>
      <c r="Q27" s="12">
        <v>1</v>
      </c>
      <c r="R27" s="135">
        <v>2</v>
      </c>
      <c r="S27" s="4">
        <v>2</v>
      </c>
      <c r="T27" s="15" t="str">
        <f t="shared" ca="1" si="12"/>
        <v>Low</v>
      </c>
      <c r="U27" s="9" t="str">
        <f t="shared" ca="1" si="13"/>
        <v>Low</v>
      </c>
      <c r="V27" s="9" t="str">
        <f t="shared" ca="1" si="14"/>
        <v>Low</v>
      </c>
      <c r="W27" s="13" t="str">
        <f t="shared" ca="1" si="15"/>
        <v>Low</v>
      </c>
      <c r="X27" s="21"/>
      <c r="Y27" s="21"/>
      <c r="Z27" s="21"/>
      <c r="AA27" s="25"/>
      <c r="AB27" s="8"/>
      <c r="AC27" s="12"/>
      <c r="AD27" s="12"/>
      <c r="AE27" s="4"/>
      <c r="AF27" s="15" t="str">
        <f t="shared" ca="1" si="64"/>
        <v/>
      </c>
      <c r="AG27" s="9" t="str">
        <f t="shared" ca="1" si="65"/>
        <v/>
      </c>
      <c r="AH27" s="9" t="str">
        <f t="shared" ca="1" si="66"/>
        <v/>
      </c>
      <c r="AI27" s="13" t="str">
        <f t="shared" ca="1" si="67"/>
        <v/>
      </c>
      <c r="AJ27" s="21"/>
      <c r="AK27" s="21"/>
      <c r="AL27" s="21"/>
      <c r="AM27" s="25"/>
      <c r="AN27" s="8"/>
      <c r="AO27" s="12"/>
      <c r="AP27" s="12"/>
      <c r="AQ27" s="4"/>
      <c r="AR27" s="15" t="str">
        <f t="shared" ca="1" si="68"/>
        <v/>
      </c>
      <c r="AS27" s="9" t="str">
        <f t="shared" ca="1" si="69"/>
        <v/>
      </c>
      <c r="AT27" s="9" t="str">
        <f t="shared" ca="1" si="70"/>
        <v/>
      </c>
      <c r="AU27" s="13" t="str">
        <f t="shared" ca="1" si="71"/>
        <v/>
      </c>
      <c r="AV27" s="26"/>
      <c r="AW27" s="143" t="s">
        <v>326</v>
      </c>
      <c r="AX27" s="148" t="s">
        <v>282</v>
      </c>
    </row>
    <row r="28" spans="2:50" ht="60" x14ac:dyDescent="0.25">
      <c r="B28" s="122" t="s">
        <v>147</v>
      </c>
      <c r="C28" s="101" t="s">
        <v>115</v>
      </c>
      <c r="D28" s="101" t="s">
        <v>138</v>
      </c>
      <c r="E28" s="141">
        <v>1</v>
      </c>
      <c r="F28" s="134" t="s">
        <v>41</v>
      </c>
      <c r="G28" s="101" t="s">
        <v>50</v>
      </c>
      <c r="H28" s="101" t="s">
        <v>127</v>
      </c>
      <c r="I28" s="101" t="s">
        <v>51</v>
      </c>
      <c r="J28" s="101" t="s">
        <v>40</v>
      </c>
      <c r="K28" s="101" t="s">
        <v>52</v>
      </c>
      <c r="L28" s="101" t="s">
        <v>53</v>
      </c>
      <c r="M28" s="101" t="s">
        <v>167</v>
      </c>
      <c r="N28" s="101" t="s">
        <v>42</v>
      </c>
      <c r="O28" s="104">
        <v>8</v>
      </c>
      <c r="P28" s="105">
        <v>1</v>
      </c>
      <c r="Q28" s="106">
        <v>1</v>
      </c>
      <c r="R28" s="106">
        <v>3</v>
      </c>
      <c r="S28" s="107">
        <v>1</v>
      </c>
      <c r="T28" s="15" t="str">
        <f t="shared" ca="1" si="12"/>
        <v>Low</v>
      </c>
      <c r="U28" s="9" t="str">
        <f t="shared" ca="1" si="13"/>
        <v>Low</v>
      </c>
      <c r="V28" s="9" t="str">
        <f t="shared" ca="1" si="14"/>
        <v>Low</v>
      </c>
      <c r="W28" s="13" t="str">
        <f t="shared" ca="1" si="15"/>
        <v>Low</v>
      </c>
      <c r="X28" s="111"/>
      <c r="Y28" s="111"/>
      <c r="Z28" s="111"/>
      <c r="AA28" s="104"/>
      <c r="AB28" s="105"/>
      <c r="AC28" s="106"/>
      <c r="AD28" s="106"/>
      <c r="AE28" s="107"/>
      <c r="AF28" s="108" t="str">
        <f t="shared" ref="AF28" ca="1" si="112">IF(AND(ISNUMBER(AB28),ISNUMBER($AA28)),OFFSET(RiskMatrixRef,-$AA28+1,AB28-1),"")</f>
        <v/>
      </c>
      <c r="AG28" s="109" t="str">
        <f t="shared" ref="AG28" ca="1" si="113">IF(AND(ISNUMBER(AC28),ISNUMBER($AA28)),OFFSET(RiskMatrixRef,-$AA28+1,AC28-1),"")</f>
        <v/>
      </c>
      <c r="AH28" s="109" t="str">
        <f t="shared" ref="AH28" ca="1" si="114">IF(AND(ISNUMBER(AD28),ISNUMBER($AA28)),OFFSET(RiskMatrixRef,-$AA28+1,AD28-1),"")</f>
        <v/>
      </c>
      <c r="AI28" s="110" t="str">
        <f t="shared" ref="AI28" ca="1" si="115">IF(AND(ISNUMBER(AE28),ISNUMBER($AA28)),OFFSET(RiskMatrixRef,-$AA28+1,AE28-1),"")</f>
        <v/>
      </c>
      <c r="AJ28" s="111"/>
      <c r="AK28" s="111"/>
      <c r="AL28" s="111"/>
      <c r="AM28" s="104"/>
      <c r="AN28" s="105"/>
      <c r="AO28" s="106"/>
      <c r="AP28" s="106"/>
      <c r="AQ28" s="107"/>
      <c r="AR28" s="108" t="str">
        <f t="shared" ref="AR28" ca="1" si="116">IF(AND(ISNUMBER(AN28),ISNUMBER($AM28)),OFFSET(RiskMatrixRef,-$AM28+1,AN28-1),"")</f>
        <v/>
      </c>
      <c r="AS28" s="109" t="str">
        <f t="shared" ref="AS28" ca="1" si="117">IF(AND(ISNUMBER(AO28),ISNUMBER($AM28)),OFFSET(RiskMatrixRef,-$AM28+1,AO28-1),"")</f>
        <v/>
      </c>
      <c r="AT28" s="109" t="str">
        <f t="shared" ref="AT28" ca="1" si="118">IF(AND(ISNUMBER(AP28),ISNUMBER($AM28)),OFFSET(RiskMatrixRef,-$AM28+1,AP28-1),"")</f>
        <v/>
      </c>
      <c r="AU28" s="110" t="str">
        <f t="shared" ref="AU28" ca="1" si="119">IF(AND(ISNUMBER(AQ28),ISNUMBER($AM28)),OFFSET(RiskMatrixRef,-$AM28+1,AQ28-1),"")</f>
        <v/>
      </c>
      <c r="AV28" s="112"/>
      <c r="AW28" s="143" t="s">
        <v>330</v>
      </c>
      <c r="AX28" s="148" t="s">
        <v>298</v>
      </c>
    </row>
    <row r="29" spans="2:50" ht="60" x14ac:dyDescent="0.25">
      <c r="B29" s="119" t="s">
        <v>148</v>
      </c>
      <c r="C29" s="36" t="s">
        <v>179</v>
      </c>
      <c r="D29" s="36" t="s">
        <v>180</v>
      </c>
      <c r="E29" s="141">
        <v>1</v>
      </c>
      <c r="F29" s="134" t="s">
        <v>41</v>
      </c>
      <c r="G29" s="36" t="s">
        <v>50</v>
      </c>
      <c r="H29" s="36" t="s">
        <v>181</v>
      </c>
      <c r="I29" s="36" t="s">
        <v>51</v>
      </c>
      <c r="J29" s="63" t="s">
        <v>40</v>
      </c>
      <c r="K29" s="36" t="s">
        <v>182</v>
      </c>
      <c r="L29" s="63" t="s">
        <v>53</v>
      </c>
      <c r="M29" s="36" t="s">
        <v>183</v>
      </c>
      <c r="N29" s="36" t="s">
        <v>42</v>
      </c>
      <c r="O29" s="25">
        <v>8</v>
      </c>
      <c r="P29" s="8">
        <v>1</v>
      </c>
      <c r="Q29" s="12">
        <v>1</v>
      </c>
      <c r="R29" s="12">
        <v>2</v>
      </c>
      <c r="S29" s="4">
        <v>1</v>
      </c>
      <c r="T29" s="15" t="str">
        <f t="shared" ca="1" si="12"/>
        <v>Low</v>
      </c>
      <c r="U29" s="9" t="str">
        <f t="shared" ca="1" si="13"/>
        <v>Low</v>
      </c>
      <c r="V29" s="9" t="str">
        <f t="shared" ca="1" si="14"/>
        <v>Low</v>
      </c>
      <c r="W29" s="13" t="str">
        <f t="shared" ca="1" si="15"/>
        <v>Low</v>
      </c>
      <c r="X29" s="21"/>
      <c r="Y29" s="21"/>
      <c r="Z29" s="21"/>
      <c r="AA29" s="25"/>
      <c r="AB29" s="8"/>
      <c r="AC29" s="12"/>
      <c r="AD29" s="12"/>
      <c r="AE29" s="4"/>
      <c r="AF29" s="15"/>
      <c r="AG29" s="9"/>
      <c r="AH29" s="9"/>
      <c r="AI29" s="13"/>
      <c r="AJ29" s="21"/>
      <c r="AK29" s="21"/>
      <c r="AL29" s="21"/>
      <c r="AM29" s="25"/>
      <c r="AN29" s="8"/>
      <c r="AO29" s="12"/>
      <c r="AP29" s="12"/>
      <c r="AQ29" s="4"/>
      <c r="AR29" s="15"/>
      <c r="AS29" s="9"/>
      <c r="AT29" s="9"/>
      <c r="AU29" s="13"/>
      <c r="AV29" s="26"/>
      <c r="AW29" s="143" t="s">
        <v>329</v>
      </c>
      <c r="AX29" s="148" t="s">
        <v>298</v>
      </c>
    </row>
    <row r="30" spans="2:50" ht="90" x14ac:dyDescent="0.25">
      <c r="B30" s="122" t="s">
        <v>149</v>
      </c>
      <c r="C30" s="101" t="s">
        <v>117</v>
      </c>
      <c r="D30" s="101" t="s">
        <v>140</v>
      </c>
      <c r="E30" s="141">
        <v>1</v>
      </c>
      <c r="F30" s="134" t="s">
        <v>41</v>
      </c>
      <c r="G30" s="101" t="s">
        <v>50</v>
      </c>
      <c r="H30" s="101" t="s">
        <v>128</v>
      </c>
      <c r="I30" s="101" t="s">
        <v>51</v>
      </c>
      <c r="J30" s="101" t="s">
        <v>40</v>
      </c>
      <c r="K30" s="101"/>
      <c r="L30" s="101" t="s">
        <v>53</v>
      </c>
      <c r="M30" s="101" t="s">
        <v>169</v>
      </c>
      <c r="N30" s="101" t="s">
        <v>42</v>
      </c>
      <c r="O30" s="104">
        <v>8</v>
      </c>
      <c r="P30" s="105">
        <v>1</v>
      </c>
      <c r="Q30" s="106">
        <v>1</v>
      </c>
      <c r="R30" s="106">
        <v>3</v>
      </c>
      <c r="S30" s="107">
        <v>2</v>
      </c>
      <c r="T30" s="15" t="str">
        <f t="shared" ca="1" si="12"/>
        <v>Low</v>
      </c>
      <c r="U30" s="9" t="str">
        <f t="shared" ca="1" si="13"/>
        <v>Low</v>
      </c>
      <c r="V30" s="9" t="str">
        <f t="shared" ca="1" si="14"/>
        <v>Low</v>
      </c>
      <c r="W30" s="13" t="str">
        <f t="shared" ca="1" si="15"/>
        <v>Low</v>
      </c>
      <c r="X30" s="111"/>
      <c r="Y30" s="111"/>
      <c r="Z30" s="111"/>
      <c r="AA30" s="104"/>
      <c r="AB30" s="105"/>
      <c r="AC30" s="106"/>
      <c r="AD30" s="106"/>
      <c r="AE30" s="107"/>
      <c r="AF30" s="108" t="str">
        <f t="shared" ref="AF30" ca="1" si="120">IF(AND(ISNUMBER(AB30),ISNUMBER($AA30)),OFFSET(RiskMatrixRef,-$AA30+1,AB30-1),"")</f>
        <v/>
      </c>
      <c r="AG30" s="109" t="str">
        <f t="shared" ref="AG30" ca="1" si="121">IF(AND(ISNUMBER(AC30),ISNUMBER($AA30)),OFFSET(RiskMatrixRef,-$AA30+1,AC30-1),"")</f>
        <v/>
      </c>
      <c r="AH30" s="109" t="str">
        <f t="shared" ref="AH30" ca="1" si="122">IF(AND(ISNUMBER(AD30),ISNUMBER($AA30)),OFFSET(RiskMatrixRef,-$AA30+1,AD30-1),"")</f>
        <v/>
      </c>
      <c r="AI30" s="110" t="str">
        <f t="shared" ref="AI30" ca="1" si="123">IF(AND(ISNUMBER(AE30),ISNUMBER($AA30)),OFFSET(RiskMatrixRef,-$AA30+1,AE30-1),"")</f>
        <v/>
      </c>
      <c r="AJ30" s="111"/>
      <c r="AK30" s="111"/>
      <c r="AL30" s="111"/>
      <c r="AM30" s="104"/>
      <c r="AN30" s="105"/>
      <c r="AO30" s="106"/>
      <c r="AP30" s="106"/>
      <c r="AQ30" s="107"/>
      <c r="AR30" s="108" t="str">
        <f t="shared" ref="AR30" ca="1" si="124">IF(AND(ISNUMBER(AN30),ISNUMBER($AM30)),OFFSET(RiskMatrixRef,-$AM30+1,AN30-1),"")</f>
        <v/>
      </c>
      <c r="AS30" s="109" t="str">
        <f t="shared" ref="AS30" ca="1" si="125">IF(AND(ISNUMBER(AO30),ISNUMBER($AM30)),OFFSET(RiskMatrixRef,-$AM30+1,AO30-1),"")</f>
        <v/>
      </c>
      <c r="AT30" s="109" t="str">
        <f t="shared" ref="AT30" ca="1" si="126">IF(AND(ISNUMBER(AP30),ISNUMBER($AM30)),OFFSET(RiskMatrixRef,-$AM30+1,AP30-1),"")</f>
        <v/>
      </c>
      <c r="AU30" s="110" t="str">
        <f t="shared" ref="AU30" ca="1" si="127">IF(AND(ISNUMBER(AQ30),ISNUMBER($AM30)),OFFSET(RiskMatrixRef,-$AM30+1,AQ30-1),"")</f>
        <v/>
      </c>
      <c r="AV30" s="112"/>
      <c r="AW30" s="143" t="s">
        <v>329</v>
      </c>
      <c r="AX30" s="148" t="s">
        <v>299</v>
      </c>
    </row>
    <row r="31" spans="2:50" ht="75" x14ac:dyDescent="0.25">
      <c r="B31" s="119" t="s">
        <v>150</v>
      </c>
      <c r="C31" s="36" t="s">
        <v>291</v>
      </c>
      <c r="D31" s="36" t="s">
        <v>141</v>
      </c>
      <c r="E31" s="141">
        <v>1</v>
      </c>
      <c r="F31" s="134" t="s">
        <v>41</v>
      </c>
      <c r="G31" s="36" t="s">
        <v>50</v>
      </c>
      <c r="H31" s="36" t="s">
        <v>129</v>
      </c>
      <c r="I31" s="36" t="s">
        <v>51</v>
      </c>
      <c r="J31" s="63" t="s">
        <v>40</v>
      </c>
      <c r="K31" s="36" t="s">
        <v>52</v>
      </c>
      <c r="L31" s="63" t="s">
        <v>53</v>
      </c>
      <c r="M31" s="36" t="s">
        <v>170</v>
      </c>
      <c r="N31" s="36" t="s">
        <v>292</v>
      </c>
      <c r="O31" s="25">
        <v>8</v>
      </c>
      <c r="P31" s="8">
        <v>1</v>
      </c>
      <c r="Q31" s="12">
        <v>1</v>
      </c>
      <c r="R31" s="115">
        <v>3</v>
      </c>
      <c r="S31" s="4">
        <v>3</v>
      </c>
      <c r="T31" s="15" t="str">
        <f t="shared" ca="1" si="12"/>
        <v>Low</v>
      </c>
      <c r="U31" s="9" t="str">
        <f t="shared" ca="1" si="13"/>
        <v>Low</v>
      </c>
      <c r="V31" s="9" t="str">
        <f t="shared" ca="1" si="14"/>
        <v>Low</v>
      </c>
      <c r="W31" s="13" t="str">
        <f t="shared" ca="1" si="15"/>
        <v>Low</v>
      </c>
      <c r="X31" s="21"/>
      <c r="Y31" s="21"/>
      <c r="Z31" s="21"/>
      <c r="AA31" s="25"/>
      <c r="AB31" s="8"/>
      <c r="AC31" s="12"/>
      <c r="AD31" s="12"/>
      <c r="AE31" s="4"/>
      <c r="AF31" s="15" t="str">
        <f t="shared" ca="1" si="64"/>
        <v/>
      </c>
      <c r="AG31" s="9" t="str">
        <f t="shared" ca="1" si="65"/>
        <v/>
      </c>
      <c r="AH31" s="9" t="str">
        <f t="shared" ca="1" si="66"/>
        <v/>
      </c>
      <c r="AI31" s="13" t="str">
        <f t="shared" ca="1" si="67"/>
        <v/>
      </c>
      <c r="AJ31" s="21"/>
      <c r="AK31" s="21"/>
      <c r="AL31" s="21"/>
      <c r="AM31" s="25"/>
      <c r="AN31" s="8"/>
      <c r="AO31" s="12"/>
      <c r="AP31" s="12"/>
      <c r="AQ31" s="4"/>
      <c r="AR31" s="15" t="str">
        <f t="shared" ca="1" si="68"/>
        <v/>
      </c>
      <c r="AS31" s="9" t="str">
        <f t="shared" ca="1" si="69"/>
        <v/>
      </c>
      <c r="AT31" s="9" t="str">
        <f t="shared" ca="1" si="70"/>
        <v/>
      </c>
      <c r="AU31" s="13" t="str">
        <f t="shared" ca="1" si="71"/>
        <v/>
      </c>
      <c r="AV31" s="26"/>
      <c r="AW31" s="143" t="s">
        <v>326</v>
      </c>
      <c r="AX31" s="148" t="s">
        <v>282</v>
      </c>
    </row>
    <row r="32" spans="2:50" ht="30" x14ac:dyDescent="0.25">
      <c r="B32" s="122" t="s">
        <v>151</v>
      </c>
      <c r="C32" s="101" t="s">
        <v>174</v>
      </c>
      <c r="D32" s="101" t="s">
        <v>175</v>
      </c>
      <c r="E32" s="141">
        <v>1</v>
      </c>
      <c r="F32" s="134" t="s">
        <v>41</v>
      </c>
      <c r="G32" s="101" t="s">
        <v>50</v>
      </c>
      <c r="H32" s="101" t="s">
        <v>176</v>
      </c>
      <c r="I32" s="101" t="s">
        <v>51</v>
      </c>
      <c r="J32" s="101" t="s">
        <v>40</v>
      </c>
      <c r="K32" s="101" t="s">
        <v>52</v>
      </c>
      <c r="L32" s="101" t="s">
        <v>53</v>
      </c>
      <c r="M32" s="101" t="s">
        <v>177</v>
      </c>
      <c r="N32" s="101" t="s">
        <v>42</v>
      </c>
      <c r="O32" s="104">
        <v>8</v>
      </c>
      <c r="P32" s="105">
        <v>1</v>
      </c>
      <c r="Q32" s="106">
        <v>1</v>
      </c>
      <c r="R32" s="106">
        <v>3</v>
      </c>
      <c r="S32" s="107">
        <v>3</v>
      </c>
      <c r="T32" s="15" t="str">
        <f t="shared" ca="1" si="12"/>
        <v>Low</v>
      </c>
      <c r="U32" s="9" t="str">
        <f t="shared" ca="1" si="13"/>
        <v>Low</v>
      </c>
      <c r="V32" s="9" t="str">
        <f t="shared" ca="1" si="14"/>
        <v>Low</v>
      </c>
      <c r="W32" s="13" t="str">
        <f t="shared" ca="1" si="15"/>
        <v>Low</v>
      </c>
      <c r="X32" s="111"/>
      <c r="Y32" s="111"/>
      <c r="Z32" s="111"/>
      <c r="AA32" s="104"/>
      <c r="AB32" s="105"/>
      <c r="AC32" s="106"/>
      <c r="AD32" s="106"/>
      <c r="AE32" s="107"/>
      <c r="AF32" s="108"/>
      <c r="AG32" s="109"/>
      <c r="AH32" s="109"/>
      <c r="AI32" s="110"/>
      <c r="AJ32" s="111"/>
      <c r="AK32" s="111"/>
      <c r="AL32" s="111"/>
      <c r="AM32" s="104"/>
      <c r="AN32" s="105"/>
      <c r="AO32" s="106"/>
      <c r="AP32" s="106"/>
      <c r="AQ32" s="107"/>
      <c r="AR32" s="108"/>
      <c r="AS32" s="109"/>
      <c r="AT32" s="109"/>
      <c r="AU32" s="110"/>
      <c r="AV32" s="112"/>
      <c r="AW32" s="143" t="s">
        <v>326</v>
      </c>
      <c r="AX32" s="148" t="s">
        <v>282</v>
      </c>
    </row>
    <row r="33" spans="2:50" ht="60" x14ac:dyDescent="0.25">
      <c r="B33" s="119" t="s">
        <v>152</v>
      </c>
      <c r="C33" s="36" t="s">
        <v>116</v>
      </c>
      <c r="D33" s="36" t="s">
        <v>139</v>
      </c>
      <c r="E33" s="141">
        <v>1</v>
      </c>
      <c r="F33" s="134" t="s">
        <v>41</v>
      </c>
      <c r="G33" s="36" t="s">
        <v>50</v>
      </c>
      <c r="H33" s="133" t="s">
        <v>331</v>
      </c>
      <c r="I33" s="36" t="s">
        <v>51</v>
      </c>
      <c r="J33" s="63" t="s">
        <v>40</v>
      </c>
      <c r="K33" s="36" t="s">
        <v>203</v>
      </c>
      <c r="L33" s="63" t="s">
        <v>53</v>
      </c>
      <c r="M33" s="36" t="s">
        <v>168</v>
      </c>
      <c r="N33" s="36" t="s">
        <v>42</v>
      </c>
      <c r="O33" s="25">
        <v>7</v>
      </c>
      <c r="P33" s="8">
        <v>1</v>
      </c>
      <c r="Q33" s="12">
        <v>1</v>
      </c>
      <c r="R33" s="135">
        <v>3</v>
      </c>
      <c r="S33" s="4">
        <v>3</v>
      </c>
      <c r="T33" s="15" t="str">
        <f t="shared" ca="1" si="12"/>
        <v>Low</v>
      </c>
      <c r="U33" s="9" t="str">
        <f t="shared" ca="1" si="13"/>
        <v>Low</v>
      </c>
      <c r="V33" s="9" t="str">
        <f t="shared" ca="1" si="14"/>
        <v>Low</v>
      </c>
      <c r="W33" s="13" t="str">
        <f t="shared" ca="1" si="15"/>
        <v>Low</v>
      </c>
      <c r="X33" s="21"/>
      <c r="Y33" s="21"/>
      <c r="Z33" s="21"/>
      <c r="AA33" s="25"/>
      <c r="AB33" s="8"/>
      <c r="AC33" s="12"/>
      <c r="AD33" s="12"/>
      <c r="AE33" s="4"/>
      <c r="AF33" s="15" t="str">
        <f ca="1">IF(AND(ISNUMBER(AB33),ISNUMBER($AA33)),OFFSET(RiskMatrixRef,-$AA33+1,AB33-1),"")</f>
        <v/>
      </c>
      <c r="AG33" s="9" t="str">
        <f ca="1">IF(AND(ISNUMBER(AC33),ISNUMBER($AA33)),OFFSET(RiskMatrixRef,-$AA33+1,AC33-1),"")</f>
        <v/>
      </c>
      <c r="AH33" s="9" t="str">
        <f ca="1">IF(AND(ISNUMBER(AD33),ISNUMBER($AA33)),OFFSET(RiskMatrixRef,-$AA33+1,AD33-1),"")</f>
        <v/>
      </c>
      <c r="AI33" s="13" t="str">
        <f ca="1">IF(AND(ISNUMBER(AE33),ISNUMBER($AA33)),OFFSET(RiskMatrixRef,-$AA33+1,AE33-1),"")</f>
        <v/>
      </c>
      <c r="AJ33" s="21"/>
      <c r="AK33" s="21"/>
      <c r="AL33" s="21"/>
      <c r="AM33" s="25"/>
      <c r="AN33" s="8"/>
      <c r="AO33" s="12"/>
      <c r="AP33" s="12"/>
      <c r="AQ33" s="4"/>
      <c r="AR33" s="15" t="str">
        <f ca="1">IF(AND(ISNUMBER(AN33),ISNUMBER($AM33)),OFFSET(RiskMatrixRef,-$AM33+1,AN33-1),"")</f>
        <v/>
      </c>
      <c r="AS33" s="9" t="str">
        <f ca="1">IF(AND(ISNUMBER(AO33),ISNUMBER($AM33)),OFFSET(RiskMatrixRef,-$AM33+1,AO33-1),"")</f>
        <v/>
      </c>
      <c r="AT33" s="9" t="str">
        <f ca="1">IF(AND(ISNUMBER(AP33),ISNUMBER($AM33)),OFFSET(RiskMatrixRef,-$AM33+1,AP33-1),"")</f>
        <v/>
      </c>
      <c r="AU33" s="13" t="str">
        <f ca="1">IF(AND(ISNUMBER(AQ33),ISNUMBER($AM33)),OFFSET(RiskMatrixRef,-$AM33+1,AQ33-1),"")</f>
        <v/>
      </c>
      <c r="AV33" s="26"/>
      <c r="AW33" s="143" t="s">
        <v>332</v>
      </c>
      <c r="AX33" s="148" t="s">
        <v>300</v>
      </c>
    </row>
    <row r="34" spans="2:50" ht="30" x14ac:dyDescent="0.25">
      <c r="B34" s="122" t="s">
        <v>153</v>
      </c>
      <c r="C34" s="101" t="s">
        <v>223</v>
      </c>
      <c r="D34" s="101" t="s">
        <v>184</v>
      </c>
      <c r="E34" s="141">
        <v>1</v>
      </c>
      <c r="F34" s="134" t="s">
        <v>41</v>
      </c>
      <c r="G34" s="101" t="s">
        <v>50</v>
      </c>
      <c r="H34" s="101" t="s">
        <v>185</v>
      </c>
      <c r="I34" s="101" t="s">
        <v>51</v>
      </c>
      <c r="J34" s="101" t="s">
        <v>40</v>
      </c>
      <c r="K34" s="101" t="s">
        <v>224</v>
      </c>
      <c r="L34" s="101" t="s">
        <v>53</v>
      </c>
      <c r="M34" s="101" t="s">
        <v>186</v>
      </c>
      <c r="N34" s="101" t="s">
        <v>42</v>
      </c>
      <c r="O34" s="137">
        <v>8</v>
      </c>
      <c r="P34" s="105">
        <v>1</v>
      </c>
      <c r="Q34" s="106">
        <v>1</v>
      </c>
      <c r="R34" s="135">
        <v>2</v>
      </c>
      <c r="S34" s="107">
        <v>3</v>
      </c>
      <c r="T34" s="15" t="str">
        <f t="shared" ca="1" si="12"/>
        <v>Low</v>
      </c>
      <c r="U34" s="9" t="str">
        <f t="shared" ca="1" si="13"/>
        <v>Low</v>
      </c>
      <c r="V34" s="9" t="str">
        <f t="shared" ca="1" si="14"/>
        <v>Low</v>
      </c>
      <c r="W34" s="13" t="str">
        <f t="shared" ca="1" si="15"/>
        <v>Low</v>
      </c>
      <c r="X34" s="111"/>
      <c r="Y34" s="111"/>
      <c r="Z34" s="111"/>
      <c r="AA34" s="104"/>
      <c r="AB34" s="105"/>
      <c r="AC34" s="106"/>
      <c r="AD34" s="106"/>
      <c r="AE34" s="107"/>
      <c r="AF34" s="108"/>
      <c r="AG34" s="109"/>
      <c r="AH34" s="109"/>
      <c r="AI34" s="110"/>
      <c r="AJ34" s="111"/>
      <c r="AK34" s="111"/>
      <c r="AL34" s="111"/>
      <c r="AM34" s="104"/>
      <c r="AN34" s="105"/>
      <c r="AO34" s="106"/>
      <c r="AP34" s="106"/>
      <c r="AQ34" s="107"/>
      <c r="AR34" s="108"/>
      <c r="AS34" s="109"/>
      <c r="AT34" s="109"/>
      <c r="AU34" s="110"/>
      <c r="AV34" s="112"/>
      <c r="AW34" s="143" t="s">
        <v>328</v>
      </c>
      <c r="AX34" s="148" t="s">
        <v>282</v>
      </c>
    </row>
    <row r="35" spans="2:50" ht="30" x14ac:dyDescent="0.25">
      <c r="B35" s="119" t="s">
        <v>154</v>
      </c>
      <c r="C35" s="36" t="s">
        <v>212</v>
      </c>
      <c r="D35" s="36" t="s">
        <v>187</v>
      </c>
      <c r="E35" s="141">
        <v>1</v>
      </c>
      <c r="F35" s="134" t="s">
        <v>41</v>
      </c>
      <c r="G35" s="36" t="s">
        <v>50</v>
      </c>
      <c r="H35" s="36" t="s">
        <v>188</v>
      </c>
      <c r="I35" s="36" t="s">
        <v>51</v>
      </c>
      <c r="J35" s="63" t="s">
        <v>40</v>
      </c>
      <c r="K35" s="36" t="s">
        <v>41</v>
      </c>
      <c r="L35" s="63" t="s">
        <v>53</v>
      </c>
      <c r="M35" s="36" t="s">
        <v>189</v>
      </c>
      <c r="N35" s="36" t="s">
        <v>42</v>
      </c>
      <c r="O35" s="25">
        <v>9</v>
      </c>
      <c r="P35" s="8">
        <v>1</v>
      </c>
      <c r="Q35" s="12">
        <v>1</v>
      </c>
      <c r="R35" s="12">
        <v>2</v>
      </c>
      <c r="S35" s="4">
        <v>2</v>
      </c>
      <c r="T35" s="15" t="str">
        <f t="shared" ca="1" si="12"/>
        <v>Low</v>
      </c>
      <c r="U35" s="9" t="str">
        <f t="shared" ca="1" si="13"/>
        <v>Low</v>
      </c>
      <c r="V35" s="9" t="str">
        <f t="shared" ca="1" si="14"/>
        <v>Low</v>
      </c>
      <c r="W35" s="13" t="str">
        <f t="shared" ca="1" si="15"/>
        <v>Low</v>
      </c>
      <c r="X35" s="21"/>
      <c r="Y35" s="21"/>
      <c r="Z35" s="21"/>
      <c r="AA35" s="25"/>
      <c r="AB35" s="8"/>
      <c r="AC35" s="12"/>
      <c r="AD35" s="12"/>
      <c r="AE35" s="4"/>
      <c r="AF35" s="15"/>
      <c r="AG35" s="9"/>
      <c r="AH35" s="9"/>
      <c r="AI35" s="13"/>
      <c r="AJ35" s="21"/>
      <c r="AK35" s="21"/>
      <c r="AL35" s="21"/>
      <c r="AM35" s="25"/>
      <c r="AN35" s="8"/>
      <c r="AO35" s="12"/>
      <c r="AP35" s="12"/>
      <c r="AQ35" s="4"/>
      <c r="AR35" s="15"/>
      <c r="AS35" s="9"/>
      <c r="AT35" s="9"/>
      <c r="AU35" s="13"/>
      <c r="AV35" s="26"/>
      <c r="AW35" s="143" t="s">
        <v>326</v>
      </c>
      <c r="AX35" s="148" t="s">
        <v>282</v>
      </c>
    </row>
    <row r="36" spans="2:50" ht="45" x14ac:dyDescent="0.25">
      <c r="B36" s="122" t="s">
        <v>155</v>
      </c>
      <c r="C36" s="101" t="s">
        <v>225</v>
      </c>
      <c r="D36" s="101" t="s">
        <v>190</v>
      </c>
      <c r="E36" s="141">
        <v>1</v>
      </c>
      <c r="F36" s="134" t="s">
        <v>41</v>
      </c>
      <c r="G36" s="101" t="s">
        <v>50</v>
      </c>
      <c r="H36" s="101" t="s">
        <v>226</v>
      </c>
      <c r="I36" s="101" t="s">
        <v>51</v>
      </c>
      <c r="J36" s="101" t="s">
        <v>40</v>
      </c>
      <c r="K36" s="101" t="s">
        <v>52</v>
      </c>
      <c r="L36" s="101" t="s">
        <v>53</v>
      </c>
      <c r="M36" s="101" t="s">
        <v>227</v>
      </c>
      <c r="N36" s="101" t="s">
        <v>42</v>
      </c>
      <c r="O36" s="137">
        <v>8</v>
      </c>
      <c r="P36" s="105">
        <v>1</v>
      </c>
      <c r="Q36" s="106">
        <v>1</v>
      </c>
      <c r="R36" s="135">
        <v>2</v>
      </c>
      <c r="S36" s="135">
        <v>2</v>
      </c>
      <c r="T36" s="15" t="str">
        <f t="shared" ca="1" si="12"/>
        <v>Low</v>
      </c>
      <c r="U36" s="9" t="str">
        <f t="shared" ca="1" si="13"/>
        <v>Low</v>
      </c>
      <c r="V36" s="9" t="str">
        <f t="shared" ca="1" si="14"/>
        <v>Low</v>
      </c>
      <c r="W36" s="13" t="str">
        <f t="shared" ca="1" si="15"/>
        <v>Low</v>
      </c>
      <c r="X36" s="111"/>
      <c r="Y36" s="111"/>
      <c r="Z36" s="111"/>
      <c r="AA36" s="104"/>
      <c r="AB36" s="105"/>
      <c r="AC36" s="106"/>
      <c r="AD36" s="106"/>
      <c r="AE36" s="107"/>
      <c r="AF36" s="108"/>
      <c r="AG36" s="109"/>
      <c r="AH36" s="109"/>
      <c r="AI36" s="110"/>
      <c r="AJ36" s="111"/>
      <c r="AK36" s="111"/>
      <c r="AL36" s="111"/>
      <c r="AM36" s="104"/>
      <c r="AN36" s="105"/>
      <c r="AO36" s="106"/>
      <c r="AP36" s="106"/>
      <c r="AQ36" s="107"/>
      <c r="AR36" s="108"/>
      <c r="AS36" s="109"/>
      <c r="AT36" s="109"/>
      <c r="AU36" s="110"/>
      <c r="AV36" s="112"/>
      <c r="AW36" s="143" t="s">
        <v>326</v>
      </c>
      <c r="AX36" s="148" t="s">
        <v>282</v>
      </c>
    </row>
    <row r="37" spans="2:50" ht="45" x14ac:dyDescent="0.25">
      <c r="B37" s="119" t="s">
        <v>173</v>
      </c>
      <c r="C37" s="36" t="s">
        <v>191</v>
      </c>
      <c r="D37" s="36" t="s">
        <v>192</v>
      </c>
      <c r="E37" s="141">
        <v>1</v>
      </c>
      <c r="F37" s="134" t="s">
        <v>41</v>
      </c>
      <c r="G37" s="36" t="s">
        <v>50</v>
      </c>
      <c r="H37" s="36" t="s">
        <v>193</v>
      </c>
      <c r="I37" s="36" t="s">
        <v>51</v>
      </c>
      <c r="J37" s="63" t="s">
        <v>40</v>
      </c>
      <c r="K37" s="36" t="s">
        <v>338</v>
      </c>
      <c r="L37" s="63" t="s">
        <v>194</v>
      </c>
      <c r="M37" s="36" t="s">
        <v>195</v>
      </c>
      <c r="N37" s="36" t="s">
        <v>42</v>
      </c>
      <c r="O37" s="25">
        <v>9</v>
      </c>
      <c r="P37" s="8">
        <v>1</v>
      </c>
      <c r="Q37" s="12">
        <v>1</v>
      </c>
      <c r="R37" s="135">
        <v>2</v>
      </c>
      <c r="S37" s="4">
        <v>4</v>
      </c>
      <c r="T37" s="15" t="str">
        <f t="shared" ca="1" si="12"/>
        <v>Low</v>
      </c>
      <c r="U37" s="9" t="str">
        <f t="shared" ca="1" si="13"/>
        <v>Low</v>
      </c>
      <c r="V37" s="9" t="str">
        <f t="shared" ca="1" si="14"/>
        <v>Low</v>
      </c>
      <c r="W37" s="13" t="str">
        <f t="shared" ca="1" si="15"/>
        <v>Med</v>
      </c>
      <c r="X37" s="21"/>
      <c r="Y37" s="21"/>
      <c r="Z37" s="21"/>
      <c r="AA37" s="25"/>
      <c r="AB37" s="8"/>
      <c r="AC37" s="12"/>
      <c r="AD37" s="12"/>
      <c r="AE37" s="4"/>
      <c r="AF37" s="15"/>
      <c r="AG37" s="9"/>
      <c r="AH37" s="9"/>
      <c r="AI37" s="13"/>
      <c r="AJ37" s="21"/>
      <c r="AK37" s="21"/>
      <c r="AL37" s="21"/>
      <c r="AM37" s="25"/>
      <c r="AN37" s="8"/>
      <c r="AO37" s="12"/>
      <c r="AP37" s="12"/>
      <c r="AQ37" s="4"/>
      <c r="AR37" s="15"/>
      <c r="AS37" s="9"/>
      <c r="AT37" s="9"/>
      <c r="AU37" s="13"/>
      <c r="AV37" s="26"/>
      <c r="AW37" s="143" t="s">
        <v>337</v>
      </c>
      <c r="AX37" s="148" t="s">
        <v>282</v>
      </c>
    </row>
    <row r="38" spans="2:50" ht="90" x14ac:dyDescent="0.25">
      <c r="B38" s="122" t="s">
        <v>94</v>
      </c>
      <c r="C38" s="101" t="s">
        <v>205</v>
      </c>
      <c r="D38" s="124" t="s">
        <v>265</v>
      </c>
      <c r="E38" s="141">
        <v>1</v>
      </c>
      <c r="F38" s="134" t="s">
        <v>41</v>
      </c>
      <c r="G38" s="101" t="s">
        <v>209</v>
      </c>
      <c r="H38" s="134" t="s">
        <v>335</v>
      </c>
      <c r="I38" s="101" t="s">
        <v>334</v>
      </c>
      <c r="J38" s="101" t="s">
        <v>40</v>
      </c>
      <c r="K38" s="134" t="s">
        <v>336</v>
      </c>
      <c r="L38" s="101" t="s">
        <v>213</v>
      </c>
      <c r="M38" s="101" t="s">
        <v>214</v>
      </c>
      <c r="N38" s="101" t="s">
        <v>42</v>
      </c>
      <c r="O38" s="137">
        <v>7</v>
      </c>
      <c r="P38" s="105">
        <v>1</v>
      </c>
      <c r="Q38" s="106">
        <v>1</v>
      </c>
      <c r="R38" s="106">
        <v>5</v>
      </c>
      <c r="S38" s="107">
        <v>3</v>
      </c>
      <c r="T38" s="108" t="str">
        <f t="shared" ca="1" si="12"/>
        <v>Low</v>
      </c>
      <c r="U38" s="109" t="str">
        <f t="shared" ca="1" si="13"/>
        <v>Low</v>
      </c>
      <c r="V38" s="109" t="str">
        <f t="shared" ca="1" si="14"/>
        <v>Med</v>
      </c>
      <c r="W38" s="110" t="str">
        <f t="shared" ca="1" si="15"/>
        <v>Low</v>
      </c>
      <c r="X38" s="111"/>
      <c r="Y38" s="111"/>
      <c r="Z38" s="111"/>
      <c r="AA38" s="104"/>
      <c r="AB38" s="105"/>
      <c r="AC38" s="106"/>
      <c r="AD38" s="106"/>
      <c r="AE38" s="107"/>
      <c r="AF38" s="108"/>
      <c r="AG38" s="109"/>
      <c r="AH38" s="109"/>
      <c r="AI38" s="110"/>
      <c r="AJ38" s="111"/>
      <c r="AK38" s="111"/>
      <c r="AL38" s="111"/>
      <c r="AM38" s="104"/>
      <c r="AN38" s="105"/>
      <c r="AO38" s="106"/>
      <c r="AP38" s="106"/>
      <c r="AQ38" s="107"/>
      <c r="AR38" s="108"/>
      <c r="AS38" s="109"/>
      <c r="AT38" s="109"/>
      <c r="AU38" s="110"/>
      <c r="AV38" s="112"/>
      <c r="AW38" s="143" t="s">
        <v>333</v>
      </c>
      <c r="AX38" s="148" t="s">
        <v>283</v>
      </c>
    </row>
    <row r="39" spans="2:50" ht="47.25" customHeight="1" x14ac:dyDescent="0.25">
      <c r="B39" s="119" t="s">
        <v>178</v>
      </c>
      <c r="C39" s="36" t="s">
        <v>222</v>
      </c>
      <c r="D39" s="36" t="s">
        <v>266</v>
      </c>
      <c r="E39" s="141">
        <v>1</v>
      </c>
      <c r="F39" s="134" t="s">
        <v>41</v>
      </c>
      <c r="G39" s="36" t="s">
        <v>50</v>
      </c>
      <c r="H39" s="36" t="s">
        <v>246</v>
      </c>
      <c r="I39" s="36" t="s">
        <v>51</v>
      </c>
      <c r="J39" s="63" t="s">
        <v>40</v>
      </c>
      <c r="K39" s="36" t="s">
        <v>52</v>
      </c>
      <c r="L39" s="63" t="s">
        <v>53</v>
      </c>
      <c r="M39" s="36" t="s">
        <v>228</v>
      </c>
      <c r="N39" s="36" t="s">
        <v>229</v>
      </c>
      <c r="O39" s="25">
        <v>8</v>
      </c>
      <c r="P39" s="8">
        <v>1</v>
      </c>
      <c r="Q39" s="12">
        <v>1</v>
      </c>
      <c r="R39" s="12">
        <v>3</v>
      </c>
      <c r="S39" s="4">
        <v>3</v>
      </c>
      <c r="T39" s="15" t="str">
        <f t="shared" ca="1" si="12"/>
        <v>Low</v>
      </c>
      <c r="U39" s="9" t="str">
        <f t="shared" ca="1" si="13"/>
        <v>Low</v>
      </c>
      <c r="V39" s="9" t="str">
        <f t="shared" ca="1" si="14"/>
        <v>Low</v>
      </c>
      <c r="W39" s="13" t="str">
        <f t="shared" ca="1" si="15"/>
        <v>Low</v>
      </c>
      <c r="X39" s="21"/>
      <c r="Y39" s="21"/>
      <c r="Z39" s="21"/>
      <c r="AA39" s="25"/>
      <c r="AB39" s="8"/>
      <c r="AC39" s="12"/>
      <c r="AD39" s="12"/>
      <c r="AE39" s="4"/>
      <c r="AF39" s="15"/>
      <c r="AG39" s="9"/>
      <c r="AH39" s="9"/>
      <c r="AI39" s="13"/>
      <c r="AJ39" s="21"/>
      <c r="AK39" s="21"/>
      <c r="AL39" s="21"/>
      <c r="AM39" s="25"/>
      <c r="AN39" s="8"/>
      <c r="AO39" s="12"/>
      <c r="AP39" s="12"/>
      <c r="AQ39" s="4"/>
      <c r="AR39" s="15"/>
      <c r="AS39" s="9"/>
      <c r="AT39" s="9"/>
      <c r="AU39" s="13"/>
      <c r="AV39" s="26"/>
      <c r="AW39" s="143" t="s">
        <v>326</v>
      </c>
      <c r="AX39" s="148" t="s">
        <v>282</v>
      </c>
    </row>
    <row r="40" spans="2:50" ht="106.5" customHeight="1" x14ac:dyDescent="0.25">
      <c r="B40" s="122" t="s">
        <v>57</v>
      </c>
      <c r="C40" s="101" t="s">
        <v>250</v>
      </c>
      <c r="D40" s="101" t="s">
        <v>58</v>
      </c>
      <c r="E40" s="126" t="s">
        <v>285</v>
      </c>
      <c r="F40" s="125" t="s">
        <v>284</v>
      </c>
      <c r="G40" s="101" t="s">
        <v>251</v>
      </c>
      <c r="H40" s="101" t="s">
        <v>257</v>
      </c>
      <c r="I40" s="101" t="s">
        <v>64</v>
      </c>
      <c r="J40" s="101" t="s">
        <v>40</v>
      </c>
      <c r="K40" s="134" t="s">
        <v>342</v>
      </c>
      <c r="L40" s="101" t="s">
        <v>259</v>
      </c>
      <c r="M40" s="101" t="s">
        <v>293</v>
      </c>
      <c r="N40" s="101" t="s">
        <v>42</v>
      </c>
      <c r="O40" s="137">
        <v>5</v>
      </c>
      <c r="P40" s="105">
        <v>1</v>
      </c>
      <c r="Q40" s="106">
        <v>1</v>
      </c>
      <c r="R40" s="106">
        <v>6</v>
      </c>
      <c r="S40" s="107">
        <v>4</v>
      </c>
      <c r="T40" s="108" t="str">
        <f t="shared" ca="1" si="12"/>
        <v>Low</v>
      </c>
      <c r="U40" s="109" t="str">
        <f t="shared" ca="1" si="13"/>
        <v>Low</v>
      </c>
      <c r="V40" s="109" t="str">
        <f t="shared" ca="1" si="14"/>
        <v>Low</v>
      </c>
      <c r="W40" s="110" t="str">
        <f t="shared" ca="1" si="15"/>
        <v>Low</v>
      </c>
      <c r="X40" s="111"/>
      <c r="Y40" s="111"/>
      <c r="Z40" s="111"/>
      <c r="AA40" s="104"/>
      <c r="AB40" s="105"/>
      <c r="AC40" s="106"/>
      <c r="AD40" s="106"/>
      <c r="AE40" s="107"/>
      <c r="AF40" s="108" t="str">
        <f t="shared" ref="AF40:AI43" ca="1" si="128">IF(AND(ISNUMBER(AB40),ISNUMBER($AA40)),OFFSET(RiskMatrixRef,-$AA40+1,AB40-1),"")</f>
        <v/>
      </c>
      <c r="AG40" s="109" t="str">
        <f t="shared" ca="1" si="128"/>
        <v/>
      </c>
      <c r="AH40" s="109" t="str">
        <f t="shared" ca="1" si="128"/>
        <v/>
      </c>
      <c r="AI40" s="110" t="str">
        <f t="shared" ca="1" si="128"/>
        <v/>
      </c>
      <c r="AJ40" s="111"/>
      <c r="AK40" s="111"/>
      <c r="AL40" s="111"/>
      <c r="AM40" s="104"/>
      <c r="AN40" s="105"/>
      <c r="AO40" s="106"/>
      <c r="AP40" s="106"/>
      <c r="AQ40" s="107"/>
      <c r="AR40" s="108" t="str">
        <f t="shared" ref="AR40:AU43" ca="1" si="129">IF(AND(ISNUMBER(AN40),ISNUMBER($AM40)),OFFSET(RiskMatrixRef,-$AM40+1,AN40-1),"")</f>
        <v/>
      </c>
      <c r="AS40" s="109" t="str">
        <f t="shared" ca="1" si="129"/>
        <v/>
      </c>
      <c r="AT40" s="109" t="str">
        <f t="shared" ca="1" si="129"/>
        <v/>
      </c>
      <c r="AU40" s="110" t="str">
        <f t="shared" ca="1" si="129"/>
        <v/>
      </c>
      <c r="AV40" s="112"/>
      <c r="AW40" s="143" t="s">
        <v>343</v>
      </c>
      <c r="AX40" s="148" t="s">
        <v>301</v>
      </c>
    </row>
    <row r="41" spans="2:50" ht="89.25" customHeight="1" x14ac:dyDescent="0.25">
      <c r="B41" s="122" t="s">
        <v>63</v>
      </c>
      <c r="C41" s="101" t="s">
        <v>250</v>
      </c>
      <c r="D41" s="102" t="s">
        <v>58</v>
      </c>
      <c r="E41" s="126" t="s">
        <v>285</v>
      </c>
      <c r="F41" s="125" t="s">
        <v>284</v>
      </c>
      <c r="G41" s="101" t="s">
        <v>251</v>
      </c>
      <c r="H41" s="101" t="s">
        <v>257</v>
      </c>
      <c r="I41" s="101" t="s">
        <v>38</v>
      </c>
      <c r="J41" s="101" t="s">
        <v>40</v>
      </c>
      <c r="K41" s="134" t="s">
        <v>341</v>
      </c>
      <c r="L41" s="101" t="s">
        <v>260</v>
      </c>
      <c r="M41" s="101" t="s">
        <v>293</v>
      </c>
      <c r="N41" s="101" t="s">
        <v>42</v>
      </c>
      <c r="O41" s="137">
        <v>5</v>
      </c>
      <c r="P41" s="105">
        <v>1</v>
      </c>
      <c r="Q41" s="106">
        <v>1</v>
      </c>
      <c r="R41" s="106">
        <v>6</v>
      </c>
      <c r="S41" s="107">
        <v>4</v>
      </c>
      <c r="T41" s="108" t="str">
        <f t="shared" ca="1" si="12"/>
        <v>Low</v>
      </c>
      <c r="U41" s="109" t="str">
        <f t="shared" ca="1" si="13"/>
        <v>Low</v>
      </c>
      <c r="V41" s="109" t="str">
        <f t="shared" ca="1" si="14"/>
        <v>Low</v>
      </c>
      <c r="W41" s="110" t="str">
        <f t="shared" ca="1" si="15"/>
        <v>Low</v>
      </c>
      <c r="X41" s="111"/>
      <c r="Y41" s="111"/>
      <c r="Z41" s="111"/>
      <c r="AA41" s="104"/>
      <c r="AB41" s="105"/>
      <c r="AC41" s="106"/>
      <c r="AD41" s="106"/>
      <c r="AE41" s="107"/>
      <c r="AF41" s="108" t="str">
        <f t="shared" ca="1" si="128"/>
        <v/>
      </c>
      <c r="AG41" s="109" t="str">
        <f t="shared" ca="1" si="128"/>
        <v/>
      </c>
      <c r="AH41" s="109" t="str">
        <f t="shared" ca="1" si="128"/>
        <v/>
      </c>
      <c r="AI41" s="110" t="str">
        <f t="shared" ca="1" si="128"/>
        <v/>
      </c>
      <c r="AJ41" s="111"/>
      <c r="AK41" s="111"/>
      <c r="AL41" s="111"/>
      <c r="AM41" s="104"/>
      <c r="AN41" s="105"/>
      <c r="AO41" s="106"/>
      <c r="AP41" s="106"/>
      <c r="AQ41" s="107"/>
      <c r="AR41" s="108" t="str">
        <f t="shared" ca="1" si="129"/>
        <v/>
      </c>
      <c r="AS41" s="109" t="str">
        <f t="shared" ca="1" si="129"/>
        <v/>
      </c>
      <c r="AT41" s="109" t="str">
        <f t="shared" ca="1" si="129"/>
        <v/>
      </c>
      <c r="AU41" s="110" t="str">
        <f t="shared" ca="1" si="129"/>
        <v/>
      </c>
      <c r="AV41" s="112"/>
      <c r="AW41" s="143" t="s">
        <v>343</v>
      </c>
      <c r="AX41" s="148" t="s">
        <v>280</v>
      </c>
    </row>
    <row r="42" spans="2:50" ht="158.25" customHeight="1" x14ac:dyDescent="0.25">
      <c r="B42" s="122" t="s">
        <v>66</v>
      </c>
      <c r="C42" s="101" t="s">
        <v>250</v>
      </c>
      <c r="D42" s="101" t="s">
        <v>74</v>
      </c>
      <c r="E42" s="126" t="s">
        <v>285</v>
      </c>
      <c r="F42" s="125" t="s">
        <v>284</v>
      </c>
      <c r="G42" s="101" t="s">
        <v>251</v>
      </c>
      <c r="H42" s="101" t="s">
        <v>257</v>
      </c>
      <c r="I42" s="101" t="s">
        <v>71</v>
      </c>
      <c r="J42" s="101" t="s">
        <v>40</v>
      </c>
      <c r="K42" s="134" t="s">
        <v>339</v>
      </c>
      <c r="L42" s="101" t="s">
        <v>260</v>
      </c>
      <c r="M42" s="101" t="s">
        <v>293</v>
      </c>
      <c r="N42" s="101" t="s">
        <v>42</v>
      </c>
      <c r="O42" s="137">
        <v>7</v>
      </c>
      <c r="P42" s="105">
        <v>1</v>
      </c>
      <c r="Q42" s="106">
        <v>1</v>
      </c>
      <c r="R42" s="106">
        <v>6</v>
      </c>
      <c r="S42" s="107">
        <v>4</v>
      </c>
      <c r="T42" s="108" t="str">
        <f t="shared" ca="1" si="12"/>
        <v>Low</v>
      </c>
      <c r="U42" s="109" t="str">
        <f t="shared" ca="1" si="13"/>
        <v>Low</v>
      </c>
      <c r="V42" s="109" t="str">
        <f t="shared" ca="1" si="14"/>
        <v>Med</v>
      </c>
      <c r="W42" s="110" t="str">
        <f t="shared" ca="1" si="15"/>
        <v>Low</v>
      </c>
      <c r="X42" s="111"/>
      <c r="Y42" s="111"/>
      <c r="Z42" s="111"/>
      <c r="AA42" s="104"/>
      <c r="AB42" s="105"/>
      <c r="AC42" s="106"/>
      <c r="AD42" s="106"/>
      <c r="AE42" s="107"/>
      <c r="AF42" s="108" t="str">
        <f t="shared" ca="1" si="128"/>
        <v/>
      </c>
      <c r="AG42" s="109" t="str">
        <f t="shared" ca="1" si="128"/>
        <v/>
      </c>
      <c r="AH42" s="109" t="str">
        <f t="shared" ca="1" si="128"/>
        <v/>
      </c>
      <c r="AI42" s="110" t="str">
        <f t="shared" ca="1" si="128"/>
        <v/>
      </c>
      <c r="AJ42" s="111"/>
      <c r="AK42" s="111"/>
      <c r="AL42" s="111"/>
      <c r="AM42" s="104"/>
      <c r="AN42" s="105"/>
      <c r="AO42" s="106"/>
      <c r="AP42" s="106"/>
      <c r="AQ42" s="107"/>
      <c r="AR42" s="108" t="str">
        <f t="shared" ca="1" si="129"/>
        <v/>
      </c>
      <c r="AS42" s="109" t="str">
        <f t="shared" ca="1" si="129"/>
        <v/>
      </c>
      <c r="AT42" s="109" t="str">
        <f t="shared" ca="1" si="129"/>
        <v/>
      </c>
      <c r="AU42" s="110" t="str">
        <f t="shared" ca="1" si="129"/>
        <v/>
      </c>
      <c r="AV42" s="112"/>
      <c r="AW42" s="143" t="s">
        <v>343</v>
      </c>
      <c r="AX42" s="148"/>
    </row>
    <row r="43" spans="2:50" ht="156" customHeight="1" x14ac:dyDescent="0.25">
      <c r="B43" s="122" t="s">
        <v>262</v>
      </c>
      <c r="C43" s="101" t="s">
        <v>250</v>
      </c>
      <c r="D43" s="101" t="s">
        <v>74</v>
      </c>
      <c r="E43" s="126" t="s">
        <v>285</v>
      </c>
      <c r="F43" s="125" t="s">
        <v>284</v>
      </c>
      <c r="G43" s="101" t="s">
        <v>251</v>
      </c>
      <c r="H43" s="101" t="s">
        <v>257</v>
      </c>
      <c r="I43" s="101" t="s">
        <v>72</v>
      </c>
      <c r="J43" s="101" t="s">
        <v>40</v>
      </c>
      <c r="K43" s="134" t="s">
        <v>340</v>
      </c>
      <c r="L43" s="101" t="s">
        <v>259</v>
      </c>
      <c r="M43" s="101" t="s">
        <v>293</v>
      </c>
      <c r="N43" s="101" t="s">
        <v>42</v>
      </c>
      <c r="O43" s="137">
        <v>5</v>
      </c>
      <c r="P43" s="105">
        <v>1</v>
      </c>
      <c r="Q43" s="106">
        <v>1</v>
      </c>
      <c r="R43" s="106">
        <v>6</v>
      </c>
      <c r="S43" s="107">
        <v>4</v>
      </c>
      <c r="T43" s="108" t="str">
        <f t="shared" ca="1" si="12"/>
        <v>Low</v>
      </c>
      <c r="U43" s="109" t="str">
        <f t="shared" ca="1" si="13"/>
        <v>Low</v>
      </c>
      <c r="V43" s="109" t="str">
        <f t="shared" ca="1" si="14"/>
        <v>Low</v>
      </c>
      <c r="W43" s="110" t="str">
        <f t="shared" ca="1" si="15"/>
        <v>Low</v>
      </c>
      <c r="X43" s="111"/>
      <c r="Y43" s="111"/>
      <c r="Z43" s="111"/>
      <c r="AA43" s="104"/>
      <c r="AB43" s="105"/>
      <c r="AC43" s="106"/>
      <c r="AD43" s="106"/>
      <c r="AE43" s="107"/>
      <c r="AF43" s="108" t="str">
        <f t="shared" ca="1" si="128"/>
        <v/>
      </c>
      <c r="AG43" s="109" t="str">
        <f t="shared" ca="1" si="128"/>
        <v/>
      </c>
      <c r="AH43" s="109" t="str">
        <f t="shared" ca="1" si="128"/>
        <v/>
      </c>
      <c r="AI43" s="110" t="str">
        <f t="shared" ca="1" si="128"/>
        <v/>
      </c>
      <c r="AJ43" s="111"/>
      <c r="AK43" s="111"/>
      <c r="AL43" s="111"/>
      <c r="AM43" s="104"/>
      <c r="AN43" s="105"/>
      <c r="AO43" s="106"/>
      <c r="AP43" s="106"/>
      <c r="AQ43" s="107"/>
      <c r="AR43" s="108" t="str">
        <f t="shared" ca="1" si="129"/>
        <v/>
      </c>
      <c r="AS43" s="109" t="str">
        <f t="shared" ca="1" si="129"/>
        <v/>
      </c>
      <c r="AT43" s="109" t="str">
        <f t="shared" ca="1" si="129"/>
        <v/>
      </c>
      <c r="AU43" s="110" t="str">
        <f t="shared" ca="1" si="129"/>
        <v/>
      </c>
      <c r="AV43" s="112"/>
      <c r="AW43" s="143" t="s">
        <v>343</v>
      </c>
      <c r="AX43" s="148"/>
    </row>
    <row r="44" spans="2:50" ht="106.5" customHeight="1" x14ac:dyDescent="0.25">
      <c r="B44" s="98" t="s">
        <v>67</v>
      </c>
      <c r="C44" s="36" t="s">
        <v>252</v>
      </c>
      <c r="D44" s="36" t="s">
        <v>58</v>
      </c>
      <c r="E44" s="127" t="s">
        <v>285</v>
      </c>
      <c r="F44" s="128" t="s">
        <v>284</v>
      </c>
      <c r="G44" s="36" t="s">
        <v>253</v>
      </c>
      <c r="H44" s="36" t="s">
        <v>258</v>
      </c>
      <c r="I44" s="36" t="s">
        <v>64</v>
      </c>
      <c r="J44" s="36" t="s">
        <v>40</v>
      </c>
      <c r="K44" s="36" t="s">
        <v>248</v>
      </c>
      <c r="L44" s="36" t="s">
        <v>65</v>
      </c>
      <c r="M44" s="36" t="s">
        <v>261</v>
      </c>
      <c r="N44" s="36" t="s">
        <v>42</v>
      </c>
      <c r="O44" s="137">
        <v>5</v>
      </c>
      <c r="P44" s="114">
        <v>1</v>
      </c>
      <c r="Q44" s="115">
        <v>1</v>
      </c>
      <c r="R44" s="115">
        <v>6</v>
      </c>
      <c r="S44" s="116">
        <v>4</v>
      </c>
      <c r="T44" s="15" t="str">
        <f t="shared" ca="1" si="12"/>
        <v>Low</v>
      </c>
      <c r="U44" s="9" t="str">
        <f t="shared" ca="1" si="13"/>
        <v>Low</v>
      </c>
      <c r="V44" s="9" t="str">
        <f t="shared" ca="1" si="14"/>
        <v>Low</v>
      </c>
      <c r="W44" s="13" t="str">
        <f t="shared" ca="1" si="15"/>
        <v>Low</v>
      </c>
      <c r="X44" s="120"/>
      <c r="Y44" s="120"/>
      <c r="Z44" s="120"/>
      <c r="AA44" s="113"/>
      <c r="AB44" s="114"/>
      <c r="AC44" s="115"/>
      <c r="AD44" s="115"/>
      <c r="AE44" s="116"/>
      <c r="AF44" s="15" t="str">
        <f t="shared" ref="AF44:AF47" ca="1" si="130">IF(AND(ISNUMBER(AB44),ISNUMBER($AA44)),OFFSET(RiskMatrixRef,-$AA44+1,AB44-1),"")</f>
        <v/>
      </c>
      <c r="AG44" s="9" t="str">
        <f t="shared" ref="AG44:AG47" ca="1" si="131">IF(AND(ISNUMBER(AC44),ISNUMBER($AA44)),OFFSET(RiskMatrixRef,-$AA44+1,AC44-1),"")</f>
        <v/>
      </c>
      <c r="AH44" s="9" t="str">
        <f t="shared" ref="AH44:AH47" ca="1" si="132">IF(AND(ISNUMBER(AD44),ISNUMBER($AA44)),OFFSET(RiskMatrixRef,-$AA44+1,AD44-1),"")</f>
        <v/>
      </c>
      <c r="AI44" s="13" t="str">
        <f t="shared" ref="AI44:AI47" ca="1" si="133">IF(AND(ISNUMBER(AE44),ISNUMBER($AA44)),OFFSET(RiskMatrixRef,-$AA44+1,AE44-1),"")</f>
        <v/>
      </c>
      <c r="AJ44" s="120"/>
      <c r="AK44" s="120"/>
      <c r="AL44" s="120"/>
      <c r="AM44" s="113"/>
      <c r="AN44" s="114"/>
      <c r="AO44" s="115"/>
      <c r="AP44" s="115"/>
      <c r="AQ44" s="116"/>
      <c r="AR44" s="15" t="str">
        <f t="shared" ref="AR44:AR47" ca="1" si="134">IF(AND(ISNUMBER(AN44),ISNUMBER($AM44)),OFFSET(RiskMatrixRef,-$AM44+1,AN44-1),"")</f>
        <v/>
      </c>
      <c r="AS44" s="9" t="str">
        <f t="shared" ref="AS44:AS47" ca="1" si="135">IF(AND(ISNUMBER(AO44),ISNUMBER($AM44)),OFFSET(RiskMatrixRef,-$AM44+1,AO44-1),"")</f>
        <v/>
      </c>
      <c r="AT44" s="9" t="str">
        <f t="shared" ref="AT44:AT47" ca="1" si="136">IF(AND(ISNUMBER(AP44),ISNUMBER($AM44)),OFFSET(RiskMatrixRef,-$AM44+1,AP44-1),"")</f>
        <v/>
      </c>
      <c r="AU44" s="13" t="str">
        <f t="shared" ref="AU44:AU47" ca="1" si="137">IF(AND(ISNUMBER(AQ44),ISNUMBER($AM44)),OFFSET(RiskMatrixRef,-$AM44+1,AQ44-1),"")</f>
        <v/>
      </c>
      <c r="AV44" s="121"/>
      <c r="AW44" s="144"/>
      <c r="AX44" s="148"/>
    </row>
    <row r="45" spans="2:50" ht="89.25" customHeight="1" x14ac:dyDescent="0.25">
      <c r="B45" s="98" t="s">
        <v>263</v>
      </c>
      <c r="C45" s="36" t="s">
        <v>252</v>
      </c>
      <c r="D45" s="64" t="s">
        <v>58</v>
      </c>
      <c r="E45" s="127" t="s">
        <v>285</v>
      </c>
      <c r="F45" s="128" t="s">
        <v>284</v>
      </c>
      <c r="G45" s="36" t="s">
        <v>253</v>
      </c>
      <c r="H45" s="36" t="s">
        <v>258</v>
      </c>
      <c r="I45" s="36" t="s">
        <v>38</v>
      </c>
      <c r="J45" s="36" t="s">
        <v>40</v>
      </c>
      <c r="K45" s="36" t="s">
        <v>247</v>
      </c>
      <c r="L45" s="36" t="s">
        <v>61</v>
      </c>
      <c r="M45" s="36" t="s">
        <v>261</v>
      </c>
      <c r="N45" s="36" t="s">
        <v>42</v>
      </c>
      <c r="O45" s="137">
        <v>4</v>
      </c>
      <c r="P45" s="114">
        <v>1</v>
      </c>
      <c r="Q45" s="115">
        <v>1</v>
      </c>
      <c r="R45" s="115">
        <v>6</v>
      </c>
      <c r="S45" s="116">
        <v>4</v>
      </c>
      <c r="T45" s="15" t="str">
        <f t="shared" ca="1" si="12"/>
        <v>Low</v>
      </c>
      <c r="U45" s="9" t="str">
        <f t="shared" ca="1" si="13"/>
        <v>Low</v>
      </c>
      <c r="V45" s="9" t="str">
        <f t="shared" ca="1" si="14"/>
        <v>Low</v>
      </c>
      <c r="W45" s="13" t="str">
        <f t="shared" ca="1" si="15"/>
        <v>Low</v>
      </c>
      <c r="X45" s="120"/>
      <c r="Y45" s="120"/>
      <c r="Z45" s="120"/>
      <c r="AA45" s="113"/>
      <c r="AB45" s="114"/>
      <c r="AC45" s="115"/>
      <c r="AD45" s="115"/>
      <c r="AE45" s="116"/>
      <c r="AF45" s="15" t="str">
        <f t="shared" ca="1" si="130"/>
        <v/>
      </c>
      <c r="AG45" s="9" t="str">
        <f t="shared" ca="1" si="131"/>
        <v/>
      </c>
      <c r="AH45" s="9" t="str">
        <f t="shared" ca="1" si="132"/>
        <v/>
      </c>
      <c r="AI45" s="13" t="str">
        <f t="shared" ca="1" si="133"/>
        <v/>
      </c>
      <c r="AJ45" s="120"/>
      <c r="AK45" s="120"/>
      <c r="AL45" s="120"/>
      <c r="AM45" s="113"/>
      <c r="AN45" s="114"/>
      <c r="AO45" s="115"/>
      <c r="AP45" s="115"/>
      <c r="AQ45" s="116"/>
      <c r="AR45" s="15" t="str">
        <f t="shared" ca="1" si="134"/>
        <v/>
      </c>
      <c r="AS45" s="9" t="str">
        <f t="shared" ca="1" si="135"/>
        <v/>
      </c>
      <c r="AT45" s="9" t="str">
        <f t="shared" ca="1" si="136"/>
        <v/>
      </c>
      <c r="AU45" s="13" t="str">
        <f t="shared" ca="1" si="137"/>
        <v/>
      </c>
      <c r="AV45" s="121"/>
      <c r="AW45" s="144"/>
      <c r="AX45" s="148" t="s">
        <v>279</v>
      </c>
    </row>
    <row r="46" spans="2:50" ht="158.25" customHeight="1" x14ac:dyDescent="0.25">
      <c r="B46" s="98" t="s">
        <v>264</v>
      </c>
      <c r="C46" s="36" t="s">
        <v>252</v>
      </c>
      <c r="D46" s="36" t="s">
        <v>74</v>
      </c>
      <c r="E46" s="127" t="s">
        <v>285</v>
      </c>
      <c r="F46" s="128" t="s">
        <v>284</v>
      </c>
      <c r="G46" s="36" t="s">
        <v>253</v>
      </c>
      <c r="H46" s="36" t="s">
        <v>258</v>
      </c>
      <c r="I46" s="36" t="s">
        <v>71</v>
      </c>
      <c r="J46" s="36" t="s">
        <v>40</v>
      </c>
      <c r="K46" s="36" t="s">
        <v>82</v>
      </c>
      <c r="L46" s="36" t="s">
        <v>61</v>
      </c>
      <c r="M46" s="36" t="s">
        <v>261</v>
      </c>
      <c r="N46" s="36" t="s">
        <v>42</v>
      </c>
      <c r="O46" s="137">
        <v>7</v>
      </c>
      <c r="P46" s="114">
        <v>1</v>
      </c>
      <c r="Q46" s="115">
        <v>1</v>
      </c>
      <c r="R46" s="115">
        <v>6</v>
      </c>
      <c r="S46" s="116">
        <v>4</v>
      </c>
      <c r="T46" s="15" t="str">
        <f t="shared" ca="1" si="12"/>
        <v>Low</v>
      </c>
      <c r="U46" s="9" t="str">
        <f t="shared" ca="1" si="13"/>
        <v>Low</v>
      </c>
      <c r="V46" s="9" t="str">
        <f t="shared" ca="1" si="14"/>
        <v>Med</v>
      </c>
      <c r="W46" s="13" t="str">
        <f t="shared" ca="1" si="15"/>
        <v>Low</v>
      </c>
      <c r="X46" s="120"/>
      <c r="Y46" s="120"/>
      <c r="Z46" s="120"/>
      <c r="AA46" s="113"/>
      <c r="AB46" s="114"/>
      <c r="AC46" s="115"/>
      <c r="AD46" s="115"/>
      <c r="AE46" s="116"/>
      <c r="AF46" s="15" t="str">
        <f t="shared" ca="1" si="130"/>
        <v/>
      </c>
      <c r="AG46" s="9" t="str">
        <f t="shared" ca="1" si="131"/>
        <v/>
      </c>
      <c r="AH46" s="9" t="str">
        <f t="shared" ca="1" si="132"/>
        <v/>
      </c>
      <c r="AI46" s="13" t="str">
        <f t="shared" ca="1" si="133"/>
        <v/>
      </c>
      <c r="AJ46" s="120"/>
      <c r="AK46" s="120"/>
      <c r="AL46" s="120"/>
      <c r="AM46" s="113"/>
      <c r="AN46" s="114"/>
      <c r="AO46" s="115"/>
      <c r="AP46" s="115"/>
      <c r="AQ46" s="116"/>
      <c r="AR46" s="15" t="str">
        <f t="shared" ca="1" si="134"/>
        <v/>
      </c>
      <c r="AS46" s="9" t="str">
        <f t="shared" ca="1" si="135"/>
        <v/>
      </c>
      <c r="AT46" s="9" t="str">
        <f t="shared" ca="1" si="136"/>
        <v/>
      </c>
      <c r="AU46" s="13" t="str">
        <f t="shared" ca="1" si="137"/>
        <v/>
      </c>
      <c r="AV46" s="121"/>
      <c r="AW46" s="144"/>
      <c r="AX46" s="148"/>
    </row>
    <row r="47" spans="2:50" ht="156" customHeight="1" x14ac:dyDescent="0.25">
      <c r="B47" s="98" t="s">
        <v>73</v>
      </c>
      <c r="C47" s="36" t="s">
        <v>252</v>
      </c>
      <c r="D47" s="36" t="s">
        <v>74</v>
      </c>
      <c r="E47" s="127" t="s">
        <v>285</v>
      </c>
      <c r="F47" s="128" t="s">
        <v>284</v>
      </c>
      <c r="G47" s="36" t="s">
        <v>253</v>
      </c>
      <c r="H47" s="36" t="s">
        <v>258</v>
      </c>
      <c r="I47" s="36" t="s">
        <v>72</v>
      </c>
      <c r="J47" s="36" t="s">
        <v>40</v>
      </c>
      <c r="K47" s="36" t="s">
        <v>83</v>
      </c>
      <c r="L47" s="36" t="s">
        <v>65</v>
      </c>
      <c r="M47" s="36" t="s">
        <v>261</v>
      </c>
      <c r="N47" s="36" t="s">
        <v>42</v>
      </c>
      <c r="O47" s="137">
        <v>5</v>
      </c>
      <c r="P47" s="114">
        <v>1</v>
      </c>
      <c r="Q47" s="115">
        <v>1</v>
      </c>
      <c r="R47" s="115">
        <v>6</v>
      </c>
      <c r="S47" s="116">
        <v>4</v>
      </c>
      <c r="T47" s="15" t="str">
        <f t="shared" ca="1" si="12"/>
        <v>Low</v>
      </c>
      <c r="U47" s="9" t="str">
        <f t="shared" ca="1" si="13"/>
        <v>Low</v>
      </c>
      <c r="V47" s="9" t="str">
        <f t="shared" ca="1" si="14"/>
        <v>Low</v>
      </c>
      <c r="W47" s="13" t="str">
        <f t="shared" ca="1" si="15"/>
        <v>Low</v>
      </c>
      <c r="X47" s="120"/>
      <c r="Y47" s="120"/>
      <c r="Z47" s="120"/>
      <c r="AA47" s="113"/>
      <c r="AB47" s="114"/>
      <c r="AC47" s="115"/>
      <c r="AD47" s="115"/>
      <c r="AE47" s="116"/>
      <c r="AF47" s="15" t="str">
        <f t="shared" ca="1" si="130"/>
        <v/>
      </c>
      <c r="AG47" s="9" t="str">
        <f t="shared" ca="1" si="131"/>
        <v/>
      </c>
      <c r="AH47" s="9" t="str">
        <f t="shared" ca="1" si="132"/>
        <v/>
      </c>
      <c r="AI47" s="13" t="str">
        <f t="shared" ca="1" si="133"/>
        <v/>
      </c>
      <c r="AJ47" s="120"/>
      <c r="AK47" s="120"/>
      <c r="AL47" s="120"/>
      <c r="AM47" s="113"/>
      <c r="AN47" s="114"/>
      <c r="AO47" s="115"/>
      <c r="AP47" s="115"/>
      <c r="AQ47" s="116"/>
      <c r="AR47" s="15" t="str">
        <f t="shared" ca="1" si="134"/>
        <v/>
      </c>
      <c r="AS47" s="9" t="str">
        <f t="shared" ca="1" si="135"/>
        <v/>
      </c>
      <c r="AT47" s="9" t="str">
        <f t="shared" ca="1" si="136"/>
        <v/>
      </c>
      <c r="AU47" s="13" t="str">
        <f t="shared" ca="1" si="137"/>
        <v/>
      </c>
      <c r="AV47" s="121"/>
      <c r="AW47" s="144"/>
      <c r="AX47" s="148"/>
    </row>
    <row r="48" spans="2:50" ht="90.75" customHeight="1" x14ac:dyDescent="0.25">
      <c r="B48" s="122" t="s">
        <v>267</v>
      </c>
      <c r="C48" s="101" t="s">
        <v>254</v>
      </c>
      <c r="D48" s="101" t="s">
        <v>58</v>
      </c>
      <c r="E48" s="129">
        <v>1</v>
      </c>
      <c r="F48" s="130" t="s">
        <v>68</v>
      </c>
      <c r="G48" s="101" t="s">
        <v>294</v>
      </c>
      <c r="H48" s="101" t="s">
        <v>59</v>
      </c>
      <c r="I48" s="101" t="s">
        <v>60</v>
      </c>
      <c r="J48" s="101" t="s">
        <v>40</v>
      </c>
      <c r="K48" s="101" t="s">
        <v>247</v>
      </c>
      <c r="L48" s="101" t="s">
        <v>61</v>
      </c>
      <c r="M48" s="101" t="s">
        <v>62</v>
      </c>
      <c r="N48" s="101" t="s">
        <v>42</v>
      </c>
      <c r="O48" s="104">
        <v>6</v>
      </c>
      <c r="P48" s="105">
        <v>1</v>
      </c>
      <c r="Q48" s="106">
        <v>1</v>
      </c>
      <c r="R48" s="106">
        <v>5</v>
      </c>
      <c r="S48" s="107">
        <v>4</v>
      </c>
      <c r="T48" s="108" t="str">
        <f t="shared" ca="1" si="12"/>
        <v>Low</v>
      </c>
      <c r="U48" s="109" t="str">
        <f t="shared" ca="1" si="13"/>
        <v>Low</v>
      </c>
      <c r="V48" s="109" t="str">
        <f t="shared" ca="1" si="14"/>
        <v>Low</v>
      </c>
      <c r="W48" s="110" t="str">
        <f t="shared" ca="1" si="15"/>
        <v>Low</v>
      </c>
      <c r="X48" s="111"/>
      <c r="Y48" s="111"/>
      <c r="Z48" s="111"/>
      <c r="AA48" s="104"/>
      <c r="AB48" s="105"/>
      <c r="AC48" s="106"/>
      <c r="AD48" s="106"/>
      <c r="AE48" s="107"/>
      <c r="AF48" s="108" t="str">
        <f t="shared" ca="1" si="4"/>
        <v/>
      </c>
      <c r="AG48" s="109" t="str">
        <f t="shared" ca="1" si="5"/>
        <v/>
      </c>
      <c r="AH48" s="109" t="str">
        <f t="shared" ca="1" si="6"/>
        <v/>
      </c>
      <c r="AI48" s="110" t="str">
        <f t="shared" ca="1" si="7"/>
        <v/>
      </c>
      <c r="AJ48" s="111"/>
      <c r="AK48" s="111"/>
      <c r="AL48" s="111"/>
      <c r="AM48" s="104"/>
      <c r="AN48" s="105"/>
      <c r="AO48" s="106"/>
      <c r="AP48" s="106"/>
      <c r="AQ48" s="107"/>
      <c r="AR48" s="108" t="str">
        <f t="shared" ca="1" si="8"/>
        <v/>
      </c>
      <c r="AS48" s="109" t="str">
        <f t="shared" ca="1" si="9"/>
        <v/>
      </c>
      <c r="AT48" s="109" t="str">
        <f t="shared" ca="1" si="10"/>
        <v/>
      </c>
      <c r="AU48" s="110" t="str">
        <f t="shared" ca="1" si="11"/>
        <v/>
      </c>
      <c r="AV48" s="112"/>
      <c r="AW48" s="145" t="s">
        <v>230</v>
      </c>
      <c r="AX48" s="148"/>
    </row>
    <row r="49" spans="2:50" ht="90" x14ac:dyDescent="0.25">
      <c r="B49" s="122" t="s">
        <v>268</v>
      </c>
      <c r="C49" s="101" t="s">
        <v>254</v>
      </c>
      <c r="D49" s="102" t="s">
        <v>58</v>
      </c>
      <c r="E49" s="129">
        <v>1</v>
      </c>
      <c r="F49" s="130" t="s">
        <v>68</v>
      </c>
      <c r="G49" s="101" t="s">
        <v>294</v>
      </c>
      <c r="H49" s="101" t="s">
        <v>59</v>
      </c>
      <c r="I49" s="101" t="s">
        <v>255</v>
      </c>
      <c r="J49" s="101" t="s">
        <v>40</v>
      </c>
      <c r="K49" s="101" t="s">
        <v>247</v>
      </c>
      <c r="L49" s="101" t="s">
        <v>68</v>
      </c>
      <c r="M49" s="101" t="s">
        <v>69</v>
      </c>
      <c r="N49" s="101" t="s">
        <v>70</v>
      </c>
      <c r="O49" s="104">
        <v>6</v>
      </c>
      <c r="P49" s="105">
        <v>1</v>
      </c>
      <c r="Q49" s="106">
        <v>1</v>
      </c>
      <c r="R49" s="106">
        <v>5</v>
      </c>
      <c r="S49" s="107">
        <v>4</v>
      </c>
      <c r="T49" s="108" t="str">
        <f t="shared" ca="1" si="12"/>
        <v>Low</v>
      </c>
      <c r="U49" s="109" t="str">
        <f t="shared" ca="1" si="13"/>
        <v>Low</v>
      </c>
      <c r="V49" s="109" t="str">
        <f t="shared" ca="1" si="14"/>
        <v>Low</v>
      </c>
      <c r="W49" s="110" t="str">
        <f t="shared" ca="1" si="15"/>
        <v>Low</v>
      </c>
      <c r="X49" s="111"/>
      <c r="Y49" s="111"/>
      <c r="Z49" s="111"/>
      <c r="AA49" s="104"/>
      <c r="AB49" s="105"/>
      <c r="AC49" s="106"/>
      <c r="AD49" s="106"/>
      <c r="AE49" s="107"/>
      <c r="AF49" s="108" t="str">
        <f t="shared" ca="1" si="4"/>
        <v/>
      </c>
      <c r="AG49" s="109" t="str">
        <f t="shared" ca="1" si="5"/>
        <v/>
      </c>
      <c r="AH49" s="109" t="str">
        <f t="shared" ca="1" si="6"/>
        <v/>
      </c>
      <c r="AI49" s="110" t="str">
        <f t="shared" ca="1" si="7"/>
        <v/>
      </c>
      <c r="AJ49" s="111"/>
      <c r="AK49" s="111"/>
      <c r="AL49" s="111"/>
      <c r="AM49" s="104"/>
      <c r="AN49" s="105"/>
      <c r="AO49" s="106"/>
      <c r="AP49" s="106"/>
      <c r="AQ49" s="107"/>
      <c r="AR49" s="108" t="str">
        <f t="shared" ca="1" si="8"/>
        <v/>
      </c>
      <c r="AS49" s="109" t="str">
        <f t="shared" ca="1" si="9"/>
        <v/>
      </c>
      <c r="AT49" s="109" t="str">
        <f t="shared" ca="1" si="10"/>
        <v/>
      </c>
      <c r="AU49" s="110" t="str">
        <f t="shared" ca="1" si="11"/>
        <v/>
      </c>
      <c r="AV49" s="112"/>
      <c r="AW49" s="145"/>
      <c r="AX49" s="148" t="s">
        <v>281</v>
      </c>
    </row>
    <row r="50" spans="2:50" ht="120" x14ac:dyDescent="0.25">
      <c r="B50" s="98" t="s">
        <v>269</v>
      </c>
      <c r="C50" s="36" t="s">
        <v>249</v>
      </c>
      <c r="D50" s="64" t="s">
        <v>74</v>
      </c>
      <c r="E50" s="131">
        <v>1</v>
      </c>
      <c r="F50" s="132" t="s">
        <v>68</v>
      </c>
      <c r="G50" s="36" t="s">
        <v>75</v>
      </c>
      <c r="H50" s="36" t="s">
        <v>76</v>
      </c>
      <c r="I50" s="36" t="s">
        <v>60</v>
      </c>
      <c r="J50" s="63" t="s">
        <v>40</v>
      </c>
      <c r="K50" s="63" t="s">
        <v>77</v>
      </c>
      <c r="L50" s="63" t="s">
        <v>61</v>
      </c>
      <c r="M50" s="63" t="s">
        <v>78</v>
      </c>
      <c r="N50" s="63" t="s">
        <v>42</v>
      </c>
      <c r="O50" s="113">
        <v>6</v>
      </c>
      <c r="P50" s="8">
        <v>1</v>
      </c>
      <c r="Q50" s="12">
        <v>1</v>
      </c>
      <c r="R50" s="12">
        <v>5</v>
      </c>
      <c r="S50" s="4">
        <v>4</v>
      </c>
      <c r="T50" s="15" t="str">
        <f t="shared" ca="1" si="12"/>
        <v>Low</v>
      </c>
      <c r="U50" s="9" t="str">
        <f t="shared" ca="1" si="13"/>
        <v>Low</v>
      </c>
      <c r="V50" s="9" t="str">
        <f t="shared" ca="1" si="14"/>
        <v>Low</v>
      </c>
      <c r="W50" s="13" t="str">
        <f t="shared" ca="1" si="15"/>
        <v>Low</v>
      </c>
      <c r="X50" s="21"/>
      <c r="Y50" s="21"/>
      <c r="Z50" s="21"/>
      <c r="AA50" s="25"/>
      <c r="AB50" s="8"/>
      <c r="AC50" s="12"/>
      <c r="AD50" s="12"/>
      <c r="AE50" s="4"/>
      <c r="AF50" s="15" t="str">
        <f t="shared" ca="1" si="4"/>
        <v/>
      </c>
      <c r="AG50" s="9" t="str">
        <f t="shared" ca="1" si="5"/>
        <v/>
      </c>
      <c r="AH50" s="9" t="str">
        <f t="shared" ca="1" si="6"/>
        <v/>
      </c>
      <c r="AI50" s="13" t="str">
        <f t="shared" ca="1" si="7"/>
        <v/>
      </c>
      <c r="AJ50" s="21"/>
      <c r="AK50" s="21"/>
      <c r="AL50" s="21"/>
      <c r="AM50" s="25"/>
      <c r="AN50" s="8"/>
      <c r="AO50" s="12"/>
      <c r="AP50" s="12"/>
      <c r="AQ50" s="4"/>
      <c r="AR50" s="15" t="str">
        <f t="shared" ca="1" si="8"/>
        <v/>
      </c>
      <c r="AS50" s="9" t="str">
        <f t="shared" ca="1" si="9"/>
        <v/>
      </c>
      <c r="AT50" s="9" t="str">
        <f t="shared" ca="1" si="10"/>
        <v/>
      </c>
      <c r="AU50" s="13" t="str">
        <f t="shared" ca="1" si="11"/>
        <v/>
      </c>
      <c r="AV50" s="26"/>
      <c r="AW50" s="146" t="s">
        <v>256</v>
      </c>
      <c r="AX50" s="148"/>
    </row>
    <row r="51" spans="2:50" ht="120" x14ac:dyDescent="0.25">
      <c r="B51" s="98" t="s">
        <v>270</v>
      </c>
      <c r="C51" s="36" t="s">
        <v>249</v>
      </c>
      <c r="D51" s="36" t="s">
        <v>74</v>
      </c>
      <c r="E51" s="131">
        <v>1</v>
      </c>
      <c r="F51" s="132" t="s">
        <v>68</v>
      </c>
      <c r="G51" s="36" t="s">
        <v>75</v>
      </c>
      <c r="H51" s="6" t="s">
        <v>79</v>
      </c>
      <c r="I51" s="36" t="s">
        <v>255</v>
      </c>
      <c r="J51" s="63" t="s">
        <v>40</v>
      </c>
      <c r="K51" s="63" t="s">
        <v>80</v>
      </c>
      <c r="L51" s="63" t="s">
        <v>53</v>
      </c>
      <c r="M51" s="63" t="s">
        <v>81</v>
      </c>
      <c r="N51" s="63" t="s">
        <v>70</v>
      </c>
      <c r="O51" s="113">
        <v>6</v>
      </c>
      <c r="P51" s="8">
        <v>1</v>
      </c>
      <c r="Q51" s="12">
        <v>1</v>
      </c>
      <c r="R51" s="12">
        <v>5</v>
      </c>
      <c r="S51" s="4">
        <v>4</v>
      </c>
      <c r="T51" s="15" t="str">
        <f t="shared" ca="1" si="12"/>
        <v>Low</v>
      </c>
      <c r="U51" s="9" t="str">
        <f t="shared" ca="1" si="13"/>
        <v>Low</v>
      </c>
      <c r="V51" s="9" t="str">
        <f t="shared" ca="1" si="14"/>
        <v>Low</v>
      </c>
      <c r="W51" s="13" t="str">
        <f t="shared" ca="1" si="15"/>
        <v>Low</v>
      </c>
      <c r="X51" s="21"/>
      <c r="Y51" s="21"/>
      <c r="Z51" s="21"/>
      <c r="AA51" s="25"/>
      <c r="AB51" s="8"/>
      <c r="AC51" s="12"/>
      <c r="AD51" s="12"/>
      <c r="AE51" s="4"/>
      <c r="AF51" s="15" t="str">
        <f t="shared" ref="AF51:AF55" ca="1" si="138">IF(AND(ISNUMBER(AB51),ISNUMBER($AA51)),OFFSET(RiskMatrixRef,-$AA51+1,AB51-1),"")</f>
        <v/>
      </c>
      <c r="AG51" s="9" t="str">
        <f t="shared" ref="AG51:AG55" ca="1" si="139">IF(AND(ISNUMBER(AC51),ISNUMBER($AA51)),OFFSET(RiskMatrixRef,-$AA51+1,AC51-1),"")</f>
        <v/>
      </c>
      <c r="AH51" s="9" t="str">
        <f t="shared" ref="AH51:AH55" ca="1" si="140">IF(AND(ISNUMBER(AD51),ISNUMBER($AA51)),OFFSET(RiskMatrixRef,-$AA51+1,AD51-1),"")</f>
        <v/>
      </c>
      <c r="AI51" s="13" t="str">
        <f t="shared" ref="AI51:AI55" ca="1" si="141">IF(AND(ISNUMBER(AE51),ISNUMBER($AA51)),OFFSET(RiskMatrixRef,-$AA51+1,AE51-1),"")</f>
        <v/>
      </c>
      <c r="AJ51" s="21"/>
      <c r="AK51" s="21"/>
      <c r="AL51" s="21"/>
      <c r="AM51" s="25"/>
      <c r="AN51" s="8"/>
      <c r="AO51" s="12"/>
      <c r="AP51" s="12"/>
      <c r="AQ51" s="4"/>
      <c r="AR51" s="15" t="str">
        <f t="shared" ref="AR51:AR55" ca="1" si="142">IF(AND(ISNUMBER(AN51),ISNUMBER($AM51)),OFFSET(RiskMatrixRef,-$AM51+1,AN51-1),"")</f>
        <v/>
      </c>
      <c r="AS51" s="9" t="str">
        <f t="shared" ref="AS51:AS55" ca="1" si="143">IF(AND(ISNUMBER(AO51),ISNUMBER($AM51)),OFFSET(RiskMatrixRef,-$AM51+1,AO51-1),"")</f>
        <v/>
      </c>
      <c r="AT51" s="9" t="str">
        <f t="shared" ref="AT51:AT55" ca="1" si="144">IF(AND(ISNUMBER(AP51),ISNUMBER($AM51)),OFFSET(RiskMatrixRef,-$AM51+1,AP51-1),"")</f>
        <v/>
      </c>
      <c r="AU51" s="13" t="str">
        <f t="shared" ref="AU51:AU55" ca="1" si="145">IF(AND(ISNUMBER(AQ51),ISNUMBER($AM51)),OFFSET(RiskMatrixRef,-$AM51+1,AQ51-1),"")</f>
        <v/>
      </c>
      <c r="AV51" s="26"/>
      <c r="AW51" s="146"/>
      <c r="AX51" s="148" t="s">
        <v>281</v>
      </c>
    </row>
    <row r="52" spans="2:50" ht="90" x14ac:dyDescent="0.25">
      <c r="B52" s="122" t="s">
        <v>271</v>
      </c>
      <c r="C52" s="101" t="s">
        <v>249</v>
      </c>
      <c r="D52" s="101" t="s">
        <v>74</v>
      </c>
      <c r="E52" s="129">
        <v>1</v>
      </c>
      <c r="F52" s="130" t="s">
        <v>68</v>
      </c>
      <c r="G52" s="101" t="s">
        <v>84</v>
      </c>
      <c r="H52" s="101" t="s">
        <v>85</v>
      </c>
      <c r="I52" s="101" t="s">
        <v>60</v>
      </c>
      <c r="J52" s="101" t="s">
        <v>40</v>
      </c>
      <c r="K52" s="101" t="s">
        <v>86</v>
      </c>
      <c r="L52" s="101" t="s">
        <v>61</v>
      </c>
      <c r="M52" s="101" t="s">
        <v>78</v>
      </c>
      <c r="N52" s="101" t="s">
        <v>42</v>
      </c>
      <c r="O52" s="104">
        <v>6</v>
      </c>
      <c r="P52" s="105">
        <v>1</v>
      </c>
      <c r="Q52" s="106">
        <v>1</v>
      </c>
      <c r="R52" s="106">
        <v>5</v>
      </c>
      <c r="S52" s="107">
        <v>4</v>
      </c>
      <c r="T52" s="108" t="str">
        <f t="shared" ca="1" si="12"/>
        <v>Low</v>
      </c>
      <c r="U52" s="109" t="str">
        <f t="shared" ca="1" si="13"/>
        <v>Low</v>
      </c>
      <c r="V52" s="109" t="str">
        <f t="shared" ca="1" si="14"/>
        <v>Low</v>
      </c>
      <c r="W52" s="110" t="str">
        <f t="shared" ca="1" si="15"/>
        <v>Low</v>
      </c>
      <c r="X52" s="111"/>
      <c r="Y52" s="111"/>
      <c r="Z52" s="111"/>
      <c r="AA52" s="104"/>
      <c r="AB52" s="105"/>
      <c r="AC52" s="106"/>
      <c r="AD52" s="106"/>
      <c r="AE52" s="107"/>
      <c r="AF52" s="108" t="str">
        <f t="shared" ref="AF52:AI53" ca="1" si="146">IF(AND(ISNUMBER(AB52),ISNUMBER($AA52)),OFFSET(RiskMatrixRef,-$AA52+1,AB52-1),"")</f>
        <v/>
      </c>
      <c r="AG52" s="109" t="str">
        <f t="shared" ca="1" si="146"/>
        <v/>
      </c>
      <c r="AH52" s="109" t="str">
        <f t="shared" ca="1" si="146"/>
        <v/>
      </c>
      <c r="AI52" s="110" t="str">
        <f t="shared" ca="1" si="146"/>
        <v/>
      </c>
      <c r="AJ52" s="111"/>
      <c r="AK52" s="111"/>
      <c r="AL52" s="111"/>
      <c r="AM52" s="104"/>
      <c r="AN52" s="105"/>
      <c r="AO52" s="106"/>
      <c r="AP52" s="106"/>
      <c r="AQ52" s="107"/>
      <c r="AR52" s="108" t="str">
        <f t="shared" ref="AR52:AU53" ca="1" si="147">IF(AND(ISNUMBER(AN52),ISNUMBER($AM52)),OFFSET(RiskMatrixRef,-$AM52+1,AN52-1),"")</f>
        <v/>
      </c>
      <c r="AS52" s="109" t="str">
        <f t="shared" ca="1" si="147"/>
        <v/>
      </c>
      <c r="AT52" s="109" t="str">
        <f t="shared" ca="1" si="147"/>
        <v/>
      </c>
      <c r="AU52" s="110" t="str">
        <f t="shared" ca="1" si="147"/>
        <v/>
      </c>
      <c r="AV52" s="112"/>
      <c r="AW52" s="145"/>
      <c r="AX52" s="148"/>
    </row>
    <row r="53" spans="2:50" ht="75" x14ac:dyDescent="0.25">
      <c r="B53" s="122" t="s">
        <v>272</v>
      </c>
      <c r="C53" s="101" t="s">
        <v>249</v>
      </c>
      <c r="D53" s="102" t="s">
        <v>74</v>
      </c>
      <c r="E53" s="129">
        <v>1</v>
      </c>
      <c r="F53" s="130" t="s">
        <v>68</v>
      </c>
      <c r="G53" s="101" t="s">
        <v>84</v>
      </c>
      <c r="H53" s="101" t="s">
        <v>85</v>
      </c>
      <c r="I53" s="101" t="s">
        <v>255</v>
      </c>
      <c r="J53" s="101" t="s">
        <v>40</v>
      </c>
      <c r="K53" s="101" t="s">
        <v>87</v>
      </c>
      <c r="L53" s="101" t="s">
        <v>61</v>
      </c>
      <c r="M53" s="101" t="s">
        <v>88</v>
      </c>
      <c r="N53" s="101" t="s">
        <v>70</v>
      </c>
      <c r="O53" s="104">
        <v>6</v>
      </c>
      <c r="P53" s="105">
        <v>1</v>
      </c>
      <c r="Q53" s="106">
        <v>1</v>
      </c>
      <c r="R53" s="106">
        <v>5</v>
      </c>
      <c r="S53" s="107">
        <v>4</v>
      </c>
      <c r="T53" s="108" t="str">
        <f t="shared" ca="1" si="12"/>
        <v>Low</v>
      </c>
      <c r="U53" s="109" t="str">
        <f t="shared" ca="1" si="13"/>
        <v>Low</v>
      </c>
      <c r="V53" s="109" t="str">
        <f t="shared" ca="1" si="14"/>
        <v>Low</v>
      </c>
      <c r="W53" s="110" t="str">
        <f t="shared" ca="1" si="15"/>
        <v>Low</v>
      </c>
      <c r="X53" s="111"/>
      <c r="Y53" s="111"/>
      <c r="Z53" s="111"/>
      <c r="AA53" s="104"/>
      <c r="AB53" s="105"/>
      <c r="AC53" s="106"/>
      <c r="AD53" s="106"/>
      <c r="AE53" s="107"/>
      <c r="AF53" s="108" t="str">
        <f t="shared" ca="1" si="146"/>
        <v/>
      </c>
      <c r="AG53" s="109" t="str">
        <f t="shared" ca="1" si="146"/>
        <v/>
      </c>
      <c r="AH53" s="109" t="str">
        <f t="shared" ca="1" si="146"/>
        <v/>
      </c>
      <c r="AI53" s="110" t="str">
        <f t="shared" ca="1" si="146"/>
        <v/>
      </c>
      <c r="AJ53" s="111"/>
      <c r="AK53" s="111"/>
      <c r="AL53" s="111"/>
      <c r="AM53" s="104"/>
      <c r="AN53" s="105"/>
      <c r="AO53" s="106"/>
      <c r="AP53" s="106"/>
      <c r="AQ53" s="107"/>
      <c r="AR53" s="108" t="str">
        <f t="shared" ca="1" si="147"/>
        <v/>
      </c>
      <c r="AS53" s="109" t="str">
        <f t="shared" ca="1" si="147"/>
        <v/>
      </c>
      <c r="AT53" s="109" t="str">
        <f t="shared" ca="1" si="147"/>
        <v/>
      </c>
      <c r="AU53" s="110" t="str">
        <f t="shared" ca="1" si="147"/>
        <v/>
      </c>
      <c r="AV53" s="112"/>
      <c r="AW53" s="145"/>
      <c r="AX53" s="148" t="s">
        <v>281</v>
      </c>
    </row>
    <row r="54" spans="2:50" ht="15.75" x14ac:dyDescent="0.25">
      <c r="B54" s="98"/>
      <c r="C54" s="36"/>
      <c r="D54" s="64"/>
      <c r="E54" s="1"/>
      <c r="F54" s="36"/>
      <c r="G54" s="36"/>
      <c r="H54" s="36"/>
      <c r="I54" s="36"/>
      <c r="J54" s="63"/>
      <c r="K54" s="63"/>
      <c r="L54" s="63"/>
      <c r="M54" s="63"/>
      <c r="N54" s="63"/>
      <c r="O54" s="25"/>
      <c r="P54" s="8"/>
      <c r="Q54" s="12"/>
      <c r="R54" s="12"/>
      <c r="S54" s="4"/>
      <c r="T54" s="15" t="str">
        <f t="shared" ca="1" si="12"/>
        <v/>
      </c>
      <c r="U54" s="9" t="str">
        <f t="shared" ca="1" si="13"/>
        <v/>
      </c>
      <c r="V54" s="9" t="str">
        <f t="shared" ca="1" si="14"/>
        <v/>
      </c>
      <c r="W54" s="13" t="str">
        <f t="shared" ca="1" si="15"/>
        <v/>
      </c>
      <c r="X54" s="21"/>
      <c r="Y54" s="21"/>
      <c r="Z54" s="21"/>
      <c r="AA54" s="25"/>
      <c r="AB54" s="8"/>
      <c r="AC54" s="12"/>
      <c r="AD54" s="12"/>
      <c r="AE54" s="4"/>
      <c r="AF54" s="15" t="str">
        <f t="shared" ca="1" si="138"/>
        <v/>
      </c>
      <c r="AG54" s="9" t="str">
        <f t="shared" ca="1" si="139"/>
        <v/>
      </c>
      <c r="AH54" s="9" t="str">
        <f t="shared" ca="1" si="140"/>
        <v/>
      </c>
      <c r="AI54" s="13" t="str">
        <f t="shared" ca="1" si="141"/>
        <v/>
      </c>
      <c r="AJ54" s="21"/>
      <c r="AK54" s="21"/>
      <c r="AL54" s="21"/>
      <c r="AM54" s="25"/>
      <c r="AN54" s="8"/>
      <c r="AO54" s="12"/>
      <c r="AP54" s="12"/>
      <c r="AQ54" s="4"/>
      <c r="AR54" s="15" t="str">
        <f t="shared" ca="1" si="142"/>
        <v/>
      </c>
      <c r="AS54" s="9" t="str">
        <f t="shared" ca="1" si="143"/>
        <v/>
      </c>
      <c r="AT54" s="9" t="str">
        <f t="shared" ca="1" si="144"/>
        <v/>
      </c>
      <c r="AU54" s="13" t="str">
        <f t="shared" ca="1" si="145"/>
        <v/>
      </c>
      <c r="AV54" s="26"/>
      <c r="AW54" s="146"/>
      <c r="AX54" s="148"/>
    </row>
    <row r="55" spans="2:50" ht="16.5" thickBot="1" x14ac:dyDescent="0.3">
      <c r="B55" s="11"/>
      <c r="C55" s="37"/>
      <c r="D55" s="37"/>
      <c r="E55" s="11"/>
      <c r="F55" s="37"/>
      <c r="G55" s="37"/>
      <c r="H55" s="37"/>
      <c r="I55" s="37"/>
      <c r="J55" s="24"/>
      <c r="K55" s="27"/>
      <c r="L55" s="27"/>
      <c r="M55" s="27"/>
      <c r="N55" s="27"/>
      <c r="O55" s="28"/>
      <c r="P55" s="7"/>
      <c r="Q55" s="10"/>
      <c r="R55" s="10"/>
      <c r="S55" s="14"/>
      <c r="T55" s="5" t="str">
        <f t="shared" ca="1" si="12"/>
        <v/>
      </c>
      <c r="U55" s="3" t="str">
        <f t="shared" ca="1" si="13"/>
        <v/>
      </c>
      <c r="V55" s="3" t="str">
        <f t="shared" ca="1" si="14"/>
        <v/>
      </c>
      <c r="W55" s="2" t="str">
        <f t="shared" ca="1" si="15"/>
        <v/>
      </c>
      <c r="X55" s="29"/>
      <c r="Y55" s="29"/>
      <c r="Z55" s="29"/>
      <c r="AA55" s="28"/>
      <c r="AB55" s="7"/>
      <c r="AC55" s="10"/>
      <c r="AD55" s="10"/>
      <c r="AE55" s="14"/>
      <c r="AF55" s="5" t="str">
        <f t="shared" ca="1" si="138"/>
        <v/>
      </c>
      <c r="AG55" s="3" t="str">
        <f t="shared" ca="1" si="139"/>
        <v/>
      </c>
      <c r="AH55" s="3" t="str">
        <f t="shared" ca="1" si="140"/>
        <v/>
      </c>
      <c r="AI55" s="2" t="str">
        <f t="shared" ca="1" si="141"/>
        <v/>
      </c>
      <c r="AJ55" s="29"/>
      <c r="AK55" s="29"/>
      <c r="AL55" s="29"/>
      <c r="AM55" s="28"/>
      <c r="AN55" s="7"/>
      <c r="AO55" s="10"/>
      <c r="AP55" s="10"/>
      <c r="AQ55" s="14"/>
      <c r="AR55" s="5" t="str">
        <f t="shared" ca="1" si="142"/>
        <v/>
      </c>
      <c r="AS55" s="3" t="str">
        <f t="shared" ca="1" si="143"/>
        <v/>
      </c>
      <c r="AT55" s="3" t="str">
        <f t="shared" ca="1" si="144"/>
        <v/>
      </c>
      <c r="AU55" s="2" t="str">
        <f t="shared" ca="1" si="145"/>
        <v/>
      </c>
      <c r="AV55" s="29"/>
      <c r="AW55" s="147"/>
      <c r="AX55" s="148"/>
    </row>
    <row r="57" spans="2:50" x14ac:dyDescent="0.25">
      <c r="B57" s="99"/>
      <c r="R57" s="39"/>
      <c r="S57" s="40"/>
      <c r="T57" s="23"/>
      <c r="U57" s="23"/>
      <c r="V57" s="23"/>
      <c r="W57" s="23"/>
      <c r="X57" s="23"/>
      <c r="AD57" s="39"/>
      <c r="AE57" s="40"/>
      <c r="AF57" s="23"/>
      <c r="AG57" s="23"/>
      <c r="AH57" s="23"/>
      <c r="AI57" s="23"/>
      <c r="AJ57" s="23"/>
      <c r="AP57" s="39"/>
      <c r="AQ57" s="40"/>
      <c r="AR57" s="23"/>
      <c r="AS57" s="23"/>
      <c r="AT57" s="23"/>
      <c r="AU57" s="23"/>
    </row>
    <row r="58" spans="2:50" x14ac:dyDescent="0.25">
      <c r="B58" s="99"/>
      <c r="R58" s="39"/>
      <c r="S58" s="41"/>
      <c r="T58" s="23"/>
      <c r="U58" s="23"/>
      <c r="V58" s="23"/>
      <c r="W58" s="23"/>
      <c r="X58" s="23"/>
      <c r="AD58" s="39"/>
      <c r="AE58" s="41"/>
      <c r="AF58" s="23"/>
      <c r="AG58" s="23"/>
      <c r="AH58" s="23"/>
      <c r="AI58" s="23"/>
      <c r="AJ58" s="23"/>
      <c r="AP58" s="39"/>
      <c r="AQ58" s="41"/>
      <c r="AR58" s="23"/>
      <c r="AS58" s="23"/>
      <c r="AT58" s="23"/>
      <c r="AU58" s="23"/>
    </row>
    <row r="59" spans="2:50" x14ac:dyDescent="0.25">
      <c r="B59" s="99"/>
      <c r="R59" s="39"/>
      <c r="S59" s="42"/>
      <c r="T59" s="43"/>
      <c r="U59" s="44"/>
      <c r="V59" s="44"/>
      <c r="W59" s="43"/>
      <c r="X59" s="23"/>
      <c r="AD59" s="39"/>
      <c r="AE59" s="42"/>
      <c r="AF59" s="43"/>
      <c r="AG59" s="44"/>
      <c r="AH59" s="44"/>
      <c r="AI59" s="43"/>
      <c r="AJ59" s="23"/>
      <c r="AP59" s="39"/>
      <c r="AQ59" s="42"/>
      <c r="AR59" s="43"/>
      <c r="AS59" s="44"/>
      <c r="AT59" s="44"/>
      <c r="AU59" s="43"/>
    </row>
    <row r="60" spans="2:50" x14ac:dyDescent="0.25">
      <c r="B60" s="99"/>
      <c r="R60" s="39"/>
      <c r="S60" s="42"/>
      <c r="T60" s="43"/>
      <c r="U60" s="43"/>
      <c r="V60" s="43"/>
      <c r="W60" s="43"/>
      <c r="X60" s="23"/>
      <c r="AD60" s="39"/>
      <c r="AE60" s="42"/>
      <c r="AF60" s="43"/>
      <c r="AG60" s="43"/>
      <c r="AH60" s="43"/>
      <c r="AI60" s="43"/>
      <c r="AJ60" s="23"/>
      <c r="AP60" s="39"/>
      <c r="AQ60" s="42"/>
      <c r="AR60" s="43"/>
      <c r="AS60" s="43"/>
      <c r="AT60" s="43"/>
      <c r="AU60" s="43"/>
    </row>
    <row r="61" spans="2:50" x14ac:dyDescent="0.25">
      <c r="B61" s="99"/>
      <c r="R61" s="39"/>
      <c r="S61" s="42"/>
      <c r="T61" s="43"/>
      <c r="U61" s="45"/>
      <c r="V61" s="45"/>
      <c r="W61" s="43"/>
      <c r="X61" s="23"/>
      <c r="AD61" s="39"/>
      <c r="AE61" s="42"/>
      <c r="AF61" s="43"/>
      <c r="AG61" s="45"/>
      <c r="AH61" s="45"/>
      <c r="AI61" s="43"/>
      <c r="AJ61" s="23"/>
      <c r="AP61" s="39"/>
      <c r="AQ61" s="42"/>
      <c r="AR61" s="43"/>
      <c r="AS61" s="45"/>
      <c r="AT61" s="45"/>
      <c r="AU61" s="43"/>
    </row>
    <row r="62" spans="2:50" x14ac:dyDescent="0.25">
      <c r="B62" s="99"/>
      <c r="R62" s="39"/>
      <c r="S62" s="41"/>
      <c r="T62" s="23"/>
      <c r="U62" s="23"/>
      <c r="V62" s="23"/>
      <c r="W62" s="23"/>
      <c r="X62" s="23"/>
      <c r="AD62" s="39"/>
      <c r="AE62" s="41"/>
      <c r="AF62" s="23"/>
      <c r="AG62" s="23"/>
      <c r="AH62" s="23"/>
      <c r="AI62" s="23"/>
      <c r="AJ62" s="23"/>
      <c r="AP62" s="39"/>
      <c r="AQ62" s="41"/>
      <c r="AR62" s="23"/>
      <c r="AS62" s="23"/>
      <c r="AT62" s="23"/>
      <c r="AU62" s="23"/>
    </row>
    <row r="63" spans="2:50" x14ac:dyDescent="0.25">
      <c r="B63" s="99"/>
      <c r="R63" s="39"/>
      <c r="S63" s="46"/>
      <c r="T63" s="43"/>
      <c r="U63" s="47"/>
      <c r="V63" s="47"/>
      <c r="W63" s="43"/>
      <c r="X63" s="23"/>
      <c r="AD63" s="39"/>
      <c r="AE63" s="46"/>
      <c r="AF63" s="43"/>
      <c r="AG63" s="47"/>
      <c r="AH63" s="47"/>
      <c r="AI63" s="43"/>
      <c r="AJ63" s="23"/>
      <c r="AP63" s="39"/>
      <c r="AQ63" s="46"/>
      <c r="AR63" s="43"/>
      <c r="AS63" s="47"/>
      <c r="AT63" s="47"/>
      <c r="AU63" s="43"/>
    </row>
    <row r="64" spans="2:50" x14ac:dyDescent="0.25">
      <c r="B64" s="99"/>
      <c r="R64" s="39"/>
      <c r="S64" s="46"/>
      <c r="T64" s="43"/>
      <c r="U64" s="48"/>
      <c r="V64" s="48"/>
      <c r="W64" s="43"/>
      <c r="X64" s="23"/>
      <c r="AD64" s="39"/>
      <c r="AE64" s="46"/>
      <c r="AF64" s="43"/>
      <c r="AG64" s="48"/>
      <c r="AH64" s="48"/>
      <c r="AI64" s="43"/>
      <c r="AJ64" s="23"/>
      <c r="AP64" s="39"/>
      <c r="AQ64" s="46"/>
      <c r="AR64" s="43"/>
      <c r="AS64" s="48"/>
      <c r="AT64" s="48"/>
      <c r="AU64" s="43"/>
    </row>
    <row r="65" spans="2:47" x14ac:dyDescent="0.25">
      <c r="B65" s="99"/>
      <c r="R65" s="39"/>
      <c r="S65" s="46"/>
      <c r="T65" s="43"/>
      <c r="U65" s="49"/>
      <c r="V65" s="49"/>
      <c r="W65" s="43"/>
      <c r="X65" s="23"/>
      <c r="AD65" s="39"/>
      <c r="AE65" s="46"/>
      <c r="AF65" s="43"/>
      <c r="AG65" s="49"/>
      <c r="AH65" s="49"/>
      <c r="AI65" s="43"/>
      <c r="AJ65" s="23"/>
      <c r="AP65" s="39"/>
      <c r="AQ65" s="46"/>
      <c r="AR65" s="43"/>
      <c r="AS65" s="49"/>
      <c r="AT65" s="49"/>
      <c r="AU65" s="43"/>
    </row>
    <row r="66" spans="2:47" x14ac:dyDescent="0.25">
      <c r="R66" s="39"/>
      <c r="S66" s="41"/>
      <c r="T66" s="23"/>
      <c r="U66" s="23"/>
      <c r="V66" s="23"/>
      <c r="W66" s="23"/>
      <c r="X66" s="23"/>
      <c r="AD66" s="39"/>
      <c r="AE66" s="41"/>
      <c r="AF66" s="23"/>
      <c r="AG66" s="23"/>
      <c r="AH66" s="23"/>
      <c r="AI66" s="23"/>
      <c r="AJ66" s="23"/>
      <c r="AP66" s="39"/>
      <c r="AQ66" s="41"/>
      <c r="AR66" s="23"/>
      <c r="AS66" s="23"/>
      <c r="AT66" s="23"/>
      <c r="AU66" s="23"/>
    </row>
    <row r="67" spans="2:47" x14ac:dyDescent="0.25">
      <c r="R67" s="39"/>
      <c r="S67" s="46"/>
      <c r="T67" s="43"/>
      <c r="U67" s="47"/>
      <c r="V67" s="47"/>
      <c r="W67" s="43"/>
      <c r="X67" s="23"/>
      <c r="AD67" s="39"/>
      <c r="AE67" s="46"/>
      <c r="AF67" s="43"/>
      <c r="AG67" s="47"/>
      <c r="AH67" s="47"/>
      <c r="AI67" s="43"/>
      <c r="AJ67" s="23"/>
      <c r="AP67" s="39"/>
      <c r="AQ67" s="46"/>
      <c r="AR67" s="43"/>
      <c r="AS67" s="47"/>
      <c r="AT67" s="47"/>
      <c r="AU67" s="43"/>
    </row>
    <row r="68" spans="2:47" x14ac:dyDescent="0.25">
      <c r="R68" s="39"/>
      <c r="S68" s="46"/>
      <c r="T68" s="43"/>
      <c r="U68" s="48"/>
      <c r="V68" s="48"/>
      <c r="W68" s="43"/>
      <c r="X68" s="23"/>
      <c r="AD68" s="39"/>
      <c r="AE68" s="46"/>
      <c r="AF68" s="43"/>
      <c r="AG68" s="48"/>
      <c r="AH68" s="48"/>
      <c r="AI68" s="43"/>
      <c r="AJ68" s="23"/>
      <c r="AP68" s="39"/>
      <c r="AQ68" s="46"/>
      <c r="AR68" s="43"/>
      <c r="AS68" s="48"/>
      <c r="AT68" s="48"/>
      <c r="AU68" s="43"/>
    </row>
    <row r="69" spans="2:47" x14ac:dyDescent="0.25">
      <c r="G69" s="19"/>
      <c r="H69" s="19"/>
      <c r="I69" s="19"/>
      <c r="J69" s="19"/>
      <c r="O69" s="19"/>
      <c r="P69" s="18"/>
      <c r="Q69" s="18"/>
      <c r="R69" s="23"/>
      <c r="S69" s="46"/>
      <c r="T69" s="43"/>
      <c r="U69" s="49"/>
      <c r="V69" s="49"/>
      <c r="W69" s="43"/>
      <c r="X69" s="23"/>
      <c r="AA69" s="19"/>
      <c r="AB69" s="18"/>
      <c r="AC69" s="18"/>
      <c r="AD69" s="23"/>
      <c r="AE69" s="46"/>
      <c r="AF69" s="43"/>
      <c r="AG69" s="49"/>
      <c r="AH69" s="49"/>
      <c r="AI69" s="43"/>
      <c r="AJ69" s="23"/>
      <c r="AM69" s="19"/>
      <c r="AN69" s="18"/>
      <c r="AO69" s="18"/>
      <c r="AP69" s="23"/>
      <c r="AQ69" s="46"/>
      <c r="AR69" s="43"/>
      <c r="AS69" s="49"/>
      <c r="AT69" s="49"/>
      <c r="AU69" s="43"/>
    </row>
    <row r="70" spans="2:47" ht="15.75" customHeight="1" x14ac:dyDescent="0.25">
      <c r="G70" s="19"/>
      <c r="H70" s="19"/>
      <c r="I70" s="19"/>
      <c r="J70" s="19"/>
      <c r="O70" s="19"/>
      <c r="P70" s="18"/>
      <c r="Q70" s="18"/>
      <c r="R70" s="23"/>
      <c r="S70" s="23"/>
      <c r="T70" s="23"/>
      <c r="U70" s="23"/>
      <c r="V70" s="23"/>
      <c r="W70" s="23"/>
      <c r="X70" s="23"/>
      <c r="AA70" s="19"/>
      <c r="AB70" s="18"/>
      <c r="AC70" s="18"/>
      <c r="AD70" s="23"/>
      <c r="AE70" s="23"/>
      <c r="AF70" s="23"/>
      <c r="AG70" s="23"/>
      <c r="AH70" s="23"/>
      <c r="AI70" s="23"/>
      <c r="AJ70" s="23"/>
      <c r="AM70" s="19"/>
      <c r="AN70" s="18"/>
      <c r="AO70" s="18"/>
      <c r="AP70" s="23"/>
      <c r="AQ70" s="23"/>
      <c r="AR70" s="23"/>
      <c r="AS70" s="23"/>
      <c r="AT70" s="23"/>
      <c r="AU70" s="23"/>
    </row>
    <row r="71" spans="2:47" x14ac:dyDescent="0.25">
      <c r="G71" s="19"/>
      <c r="H71" s="19"/>
      <c r="I71" s="19"/>
      <c r="J71" s="19"/>
      <c r="O71" s="19"/>
      <c r="P71" s="18"/>
      <c r="Q71" s="18"/>
      <c r="R71" s="23"/>
      <c r="S71" s="50"/>
      <c r="T71" s="50"/>
      <c r="U71" s="50"/>
      <c r="V71" s="50"/>
      <c r="W71" s="50"/>
      <c r="X71" s="23"/>
      <c r="AA71" s="19"/>
      <c r="AB71" s="18"/>
      <c r="AC71" s="18"/>
      <c r="AD71" s="23"/>
      <c r="AE71" s="50"/>
      <c r="AF71" s="50"/>
      <c r="AG71" s="50"/>
      <c r="AH71" s="50"/>
      <c r="AI71" s="50"/>
      <c r="AJ71" s="23"/>
      <c r="AM71" s="19"/>
      <c r="AN71" s="18"/>
      <c r="AO71" s="18"/>
      <c r="AP71" s="23"/>
      <c r="AQ71" s="50"/>
      <c r="AR71" s="50"/>
      <c r="AS71" s="50"/>
      <c r="AT71" s="50"/>
      <c r="AU71" s="50"/>
    </row>
    <row r="72" spans="2:47" x14ac:dyDescent="0.25">
      <c r="G72" s="19"/>
      <c r="H72" s="19"/>
      <c r="I72" s="19"/>
      <c r="J72" s="19"/>
      <c r="O72" s="19"/>
      <c r="P72" s="18"/>
      <c r="Q72" s="18"/>
      <c r="R72" s="23"/>
      <c r="S72" s="42"/>
      <c r="T72" s="43"/>
      <c r="U72" s="44"/>
      <c r="V72" s="44"/>
      <c r="W72" s="43"/>
      <c r="X72" s="23"/>
      <c r="AA72" s="19"/>
      <c r="AB72" s="18"/>
      <c r="AC72" s="18"/>
      <c r="AD72" s="23"/>
      <c r="AE72" s="42"/>
      <c r="AF72" s="43"/>
      <c r="AG72" s="44"/>
      <c r="AH72" s="44"/>
      <c r="AI72" s="43"/>
      <c r="AJ72" s="23"/>
      <c r="AM72" s="19"/>
      <c r="AN72" s="18"/>
      <c r="AO72" s="18"/>
      <c r="AP72" s="23"/>
      <c r="AQ72" s="42"/>
      <c r="AR72" s="43"/>
      <c r="AS72" s="44"/>
      <c r="AT72" s="44"/>
      <c r="AU72" s="43"/>
    </row>
    <row r="73" spans="2:47" x14ac:dyDescent="0.25">
      <c r="G73" s="19"/>
      <c r="H73" s="19"/>
      <c r="I73" s="19"/>
      <c r="J73" s="19"/>
      <c r="O73" s="19"/>
      <c r="P73" s="18"/>
      <c r="Q73" s="18"/>
      <c r="R73" s="23"/>
      <c r="S73" s="42"/>
      <c r="T73" s="43"/>
      <c r="U73" s="43"/>
      <c r="V73" s="43"/>
      <c r="W73" s="43"/>
      <c r="X73" s="23"/>
      <c r="AA73" s="19"/>
      <c r="AB73" s="18"/>
      <c r="AC73" s="18"/>
      <c r="AD73" s="23"/>
      <c r="AE73" s="42"/>
      <c r="AF73" s="43"/>
      <c r="AG73" s="43"/>
      <c r="AH73" s="43"/>
      <c r="AI73" s="43"/>
      <c r="AJ73" s="23"/>
      <c r="AM73" s="19"/>
      <c r="AN73" s="18"/>
      <c r="AO73" s="18"/>
      <c r="AP73" s="23"/>
      <c r="AQ73" s="42"/>
      <c r="AR73" s="43"/>
      <c r="AS73" s="43"/>
      <c r="AT73" s="43"/>
      <c r="AU73" s="43"/>
    </row>
    <row r="74" spans="2:47" x14ac:dyDescent="0.25">
      <c r="R74" s="39"/>
      <c r="S74" s="42"/>
      <c r="T74" s="43"/>
      <c r="U74" s="45"/>
      <c r="V74" s="45"/>
      <c r="W74" s="43"/>
      <c r="X74" s="23"/>
      <c r="AD74" s="39"/>
      <c r="AE74" s="42"/>
      <c r="AF74" s="43"/>
      <c r="AG74" s="45"/>
      <c r="AH74" s="45"/>
      <c r="AI74" s="43"/>
      <c r="AJ74" s="23"/>
      <c r="AP74" s="39"/>
      <c r="AQ74" s="42"/>
      <c r="AR74" s="43"/>
      <c r="AS74" s="45"/>
      <c r="AT74" s="45"/>
      <c r="AU74" s="43"/>
    </row>
    <row r="75" spans="2:47" x14ac:dyDescent="0.25">
      <c r="R75" s="39"/>
      <c r="S75" s="39"/>
      <c r="T75" s="23"/>
      <c r="U75" s="23"/>
      <c r="V75" s="23"/>
      <c r="W75" s="23"/>
      <c r="X75" s="23"/>
      <c r="AD75" s="39"/>
      <c r="AE75" s="39"/>
      <c r="AF75" s="23"/>
      <c r="AG75" s="23"/>
      <c r="AH75" s="23"/>
      <c r="AI75" s="23"/>
      <c r="AJ75" s="23"/>
      <c r="AP75" s="39"/>
      <c r="AQ75" s="39"/>
      <c r="AR75" s="23"/>
      <c r="AS75" s="23"/>
      <c r="AT75" s="23"/>
      <c r="AU75" s="23"/>
    </row>
  </sheetData>
  <autoFilter ref="A5:AX55"/>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AF6:AI6 AR6:AU6 AF14:AI14 AR14:AU14 AR31:AU32 AR29:AU29 AF31:AI32 AF29:AI29 AR48:AU55 AF48:AI55 T48:W55 AR34:AU43 AF34:AI43 T6:W43">
    <cfRule type="cellIs" dxfId="77" priority="228" operator="equal">
      <formula>"High"</formula>
    </cfRule>
    <cfRule type="cellIs" dxfId="76" priority="229" operator="equal">
      <formula>"Med"</formula>
    </cfRule>
    <cfRule type="cellIs" dxfId="75" priority="230" operator="equal">
      <formula>"Low"</formula>
    </cfRule>
  </conditionalFormatting>
  <conditionalFormatting sqref="AR13:AU13 AF13:AI13">
    <cfRule type="cellIs" dxfId="74" priority="158" operator="equal">
      <formula>"High"</formula>
    </cfRule>
    <cfRule type="cellIs" dxfId="73" priority="159" operator="equal">
      <formula>"Med"</formula>
    </cfRule>
    <cfRule type="cellIs" dxfId="72" priority="160" operator="equal">
      <formula>"Low"</formula>
    </cfRule>
  </conditionalFormatting>
  <conditionalFormatting sqref="AR12:AU12 AF12:AI12">
    <cfRule type="cellIs" dxfId="71" priority="154" operator="equal">
      <formula>"High"</formula>
    </cfRule>
    <cfRule type="cellIs" dxfId="70" priority="155" operator="equal">
      <formula>"Med"</formula>
    </cfRule>
    <cfRule type="cellIs" dxfId="69" priority="156" operator="equal">
      <formula>"Low"</formula>
    </cfRule>
  </conditionalFormatting>
  <conditionalFormatting sqref="AR11:AU11 AF11:AI11">
    <cfRule type="cellIs" dxfId="68" priority="150" operator="equal">
      <formula>"High"</formula>
    </cfRule>
    <cfRule type="cellIs" dxfId="67" priority="151" operator="equal">
      <formula>"Med"</formula>
    </cfRule>
    <cfRule type="cellIs" dxfId="66" priority="152" operator="equal">
      <formula>"Low"</formula>
    </cfRule>
  </conditionalFormatting>
  <conditionalFormatting sqref="AR15:AU15 AF15:AI15">
    <cfRule type="cellIs" dxfId="65" priority="146" operator="equal">
      <formula>"High"</formula>
    </cfRule>
    <cfRule type="cellIs" dxfId="64" priority="147" operator="equal">
      <formula>"Med"</formula>
    </cfRule>
    <cfRule type="cellIs" dxfId="63" priority="148" operator="equal">
      <formula>"Low"</formula>
    </cfRule>
  </conditionalFormatting>
  <conditionalFormatting sqref="AR10:AU10 AF10:AI10">
    <cfRule type="cellIs" dxfId="62" priority="142" operator="equal">
      <formula>"High"</formula>
    </cfRule>
    <cfRule type="cellIs" dxfId="61" priority="143" operator="equal">
      <formula>"Med"</formula>
    </cfRule>
    <cfRule type="cellIs" dxfId="60" priority="144" operator="equal">
      <formula>"Low"</formula>
    </cfRule>
  </conditionalFormatting>
  <conditionalFormatting sqref="AR8:AU8 AF8:AI8">
    <cfRule type="cellIs" dxfId="59" priority="138" operator="equal">
      <formula>"High"</formula>
    </cfRule>
    <cfRule type="cellIs" dxfId="58" priority="139" operator="equal">
      <formula>"Med"</formula>
    </cfRule>
    <cfRule type="cellIs" dxfId="57" priority="140" operator="equal">
      <formula>"Low"</formula>
    </cfRule>
  </conditionalFormatting>
  <conditionalFormatting sqref="AR7:AU7 AF7:AI7">
    <cfRule type="cellIs" dxfId="56" priority="134" operator="equal">
      <formula>"High"</formula>
    </cfRule>
    <cfRule type="cellIs" dxfId="55" priority="135" operator="equal">
      <formula>"Med"</formula>
    </cfRule>
    <cfRule type="cellIs" dxfId="54" priority="136" operator="equal">
      <formula>"Low"</formula>
    </cfRule>
  </conditionalFormatting>
  <conditionalFormatting sqref="AR16:AU16 AF16:AI16">
    <cfRule type="cellIs" dxfId="53" priority="130" operator="equal">
      <formula>"High"</formula>
    </cfRule>
    <cfRule type="cellIs" dxfId="52" priority="131" operator="equal">
      <formula>"Med"</formula>
    </cfRule>
    <cfRule type="cellIs" dxfId="51" priority="132" operator="equal">
      <formula>"Low"</formula>
    </cfRule>
  </conditionalFormatting>
  <conditionalFormatting sqref="AR30:AU30 AF30:AI30">
    <cfRule type="cellIs" dxfId="50" priority="102" operator="equal">
      <formula>"High"</formula>
    </cfRule>
    <cfRule type="cellIs" dxfId="49" priority="103" operator="equal">
      <formula>"Med"</formula>
    </cfRule>
    <cfRule type="cellIs" dxfId="48" priority="104" operator="equal">
      <formula>"Low"</formula>
    </cfRule>
  </conditionalFormatting>
  <conditionalFormatting sqref="AR17:AU17 AF17:AI17">
    <cfRule type="cellIs" dxfId="47" priority="98" operator="equal">
      <formula>"High"</formula>
    </cfRule>
    <cfRule type="cellIs" dxfId="46" priority="99" operator="equal">
      <formula>"Med"</formula>
    </cfRule>
    <cfRule type="cellIs" dxfId="45" priority="100" operator="equal">
      <formula>"Low"</formula>
    </cfRule>
  </conditionalFormatting>
  <conditionalFormatting sqref="AR33:AU33 AF33:AI33">
    <cfRule type="cellIs" dxfId="44" priority="94" operator="equal">
      <formula>"High"</formula>
    </cfRule>
    <cfRule type="cellIs" dxfId="43" priority="95" operator="equal">
      <formula>"Med"</formula>
    </cfRule>
    <cfRule type="cellIs" dxfId="42" priority="96" operator="equal">
      <formula>"Low"</formula>
    </cfRule>
  </conditionalFormatting>
  <conditionalFormatting sqref="AR28:AU28 AF28:AI28">
    <cfRule type="cellIs" dxfId="41" priority="90" operator="equal">
      <formula>"High"</formula>
    </cfRule>
    <cfRule type="cellIs" dxfId="40" priority="91" operator="equal">
      <formula>"Med"</formula>
    </cfRule>
    <cfRule type="cellIs" dxfId="39" priority="92" operator="equal">
      <formula>"Low"</formula>
    </cfRule>
  </conditionalFormatting>
  <conditionalFormatting sqref="AR27:AU27 AF27:AI27">
    <cfRule type="cellIs" dxfId="38" priority="86" operator="equal">
      <formula>"High"</formula>
    </cfRule>
    <cfRule type="cellIs" dxfId="37" priority="87" operator="equal">
      <formula>"Med"</formula>
    </cfRule>
    <cfRule type="cellIs" dxfId="36" priority="88" operator="equal">
      <formula>"Low"</formula>
    </cfRule>
  </conditionalFormatting>
  <conditionalFormatting sqref="AR26:AU26 AF26:AI26">
    <cfRule type="cellIs" dxfId="35" priority="82" operator="equal">
      <formula>"High"</formula>
    </cfRule>
    <cfRule type="cellIs" dxfId="34" priority="83" operator="equal">
      <formula>"Med"</formula>
    </cfRule>
    <cfRule type="cellIs" dxfId="33" priority="84" operator="equal">
      <formula>"Low"</formula>
    </cfRule>
  </conditionalFormatting>
  <conditionalFormatting sqref="AR22:AU22 AF22:AI22">
    <cfRule type="cellIs" dxfId="32" priority="78" operator="equal">
      <formula>"High"</formula>
    </cfRule>
    <cfRule type="cellIs" dxfId="31" priority="79" operator="equal">
      <formula>"Med"</formula>
    </cfRule>
    <cfRule type="cellIs" dxfId="30" priority="80" operator="equal">
      <formula>"Low"</formula>
    </cfRule>
  </conditionalFormatting>
  <conditionalFormatting sqref="AR21:AU21 AF21:AI21">
    <cfRule type="cellIs" dxfId="29" priority="74" operator="equal">
      <formula>"High"</formula>
    </cfRule>
    <cfRule type="cellIs" dxfId="28" priority="75" operator="equal">
      <formula>"Med"</formula>
    </cfRule>
    <cfRule type="cellIs" dxfId="27" priority="76" operator="equal">
      <formula>"Low"</formula>
    </cfRule>
  </conditionalFormatting>
  <conditionalFormatting sqref="AR20:AU20 AF20:AI20">
    <cfRule type="cellIs" dxfId="26" priority="70" operator="equal">
      <formula>"High"</formula>
    </cfRule>
    <cfRule type="cellIs" dxfId="25" priority="71" operator="equal">
      <formula>"Med"</formula>
    </cfRule>
    <cfRule type="cellIs" dxfId="24" priority="72" operator="equal">
      <formula>"Low"</formula>
    </cfRule>
  </conditionalFormatting>
  <conditionalFormatting sqref="AR19:AU19 AF19:AI19">
    <cfRule type="cellIs" dxfId="23" priority="66" operator="equal">
      <formula>"High"</formula>
    </cfRule>
    <cfRule type="cellIs" dxfId="22" priority="67" operator="equal">
      <formula>"Med"</formula>
    </cfRule>
    <cfRule type="cellIs" dxfId="21" priority="68" operator="equal">
      <formula>"Low"</formula>
    </cfRule>
  </conditionalFormatting>
  <conditionalFormatting sqref="AR18:AU18 AF18:AI18">
    <cfRule type="cellIs" dxfId="20" priority="62" operator="equal">
      <formula>"High"</formula>
    </cfRule>
    <cfRule type="cellIs" dxfId="19" priority="63" operator="equal">
      <formula>"Med"</formula>
    </cfRule>
    <cfRule type="cellIs" dxfId="18" priority="64" operator="equal">
      <formula>"Low"</formula>
    </cfRule>
  </conditionalFormatting>
  <conditionalFormatting sqref="AR23:AU23 AF23:AI23">
    <cfRule type="cellIs" dxfId="17" priority="58" operator="equal">
      <formula>"High"</formula>
    </cfRule>
    <cfRule type="cellIs" dxfId="16" priority="59" operator="equal">
      <formula>"Med"</formula>
    </cfRule>
    <cfRule type="cellIs" dxfId="15" priority="60" operator="equal">
      <formula>"Low"</formula>
    </cfRule>
  </conditionalFormatting>
  <conditionalFormatting sqref="AR24:AU24 AF24:AI24">
    <cfRule type="cellIs" dxfId="14" priority="54" operator="equal">
      <formula>"High"</formula>
    </cfRule>
    <cfRule type="cellIs" dxfId="13" priority="55" operator="equal">
      <formula>"Med"</formula>
    </cfRule>
    <cfRule type="cellIs" dxfId="12" priority="56" operator="equal">
      <formula>"Low"</formula>
    </cfRule>
  </conditionalFormatting>
  <conditionalFormatting sqref="AR25:AU25 AF25:AI25">
    <cfRule type="cellIs" dxfId="11" priority="50" operator="equal">
      <formula>"High"</formula>
    </cfRule>
    <cfRule type="cellIs" dxfId="10" priority="51" operator="equal">
      <formula>"Med"</formula>
    </cfRule>
    <cfRule type="cellIs" dxfId="9" priority="52" operator="equal">
      <formula>"Low"</formula>
    </cfRule>
  </conditionalFormatting>
  <conditionalFormatting sqref="AR9:AU9 AF9:AI9">
    <cfRule type="cellIs" dxfId="8" priority="31" operator="equal">
      <formula>"High"</formula>
    </cfRule>
    <cfRule type="cellIs" dxfId="7" priority="32" operator="equal">
      <formula>"Med"</formula>
    </cfRule>
    <cfRule type="cellIs" dxfId="6" priority="33" operator="equal">
      <formula>"Low"</formula>
    </cfRule>
  </conditionalFormatting>
  <conditionalFormatting sqref="AF44:AI47 AR44:AU47 T44:W47">
    <cfRule type="cellIs" dxfId="5" priority="7" operator="equal">
      <formula>"High"</formula>
    </cfRule>
    <cfRule type="cellIs" dxfId="4" priority="8" operator="equal">
      <formula>"Med"</formula>
    </cfRule>
    <cfRule type="cellIs" dxfId="3" priority="9"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3"/>
  <sheetViews>
    <sheetView zoomScaleNormal="100" workbookViewId="0">
      <selection activeCell="B4" sqref="B4:C4"/>
    </sheetView>
  </sheetViews>
  <sheetFormatPr defaultRowHeight="15" x14ac:dyDescent="0.25"/>
  <cols>
    <col min="1" max="1" width="15.42578125" customWidth="1"/>
    <col min="2" max="2" width="17.5703125" customWidth="1"/>
    <col min="3" max="3" width="60.85546875" customWidth="1"/>
  </cols>
  <sheetData>
    <row r="1" spans="1:3" x14ac:dyDescent="0.25">
      <c r="A1" s="32" t="s">
        <v>12</v>
      </c>
      <c r="B1" s="162" t="s">
        <v>231</v>
      </c>
      <c r="C1" s="162"/>
    </row>
    <row r="2" spans="1:3" x14ac:dyDescent="0.25">
      <c r="A2" s="32" t="s">
        <v>13</v>
      </c>
      <c r="B2" s="162" t="s">
        <v>232</v>
      </c>
      <c r="C2" s="162"/>
    </row>
    <row r="3" spans="1:3" x14ac:dyDescent="0.25">
      <c r="A3" s="32" t="s">
        <v>14</v>
      </c>
      <c r="B3" s="163" t="s">
        <v>346</v>
      </c>
      <c r="C3" s="163"/>
    </row>
    <row r="4" spans="1:3" x14ac:dyDescent="0.25">
      <c r="A4" s="32" t="s">
        <v>15</v>
      </c>
      <c r="B4" s="162" t="s">
        <v>233</v>
      </c>
      <c r="C4" s="162"/>
    </row>
    <row r="5" spans="1:3" x14ac:dyDescent="0.25">
      <c r="A5" s="32" t="s">
        <v>276</v>
      </c>
      <c r="B5" s="162" t="s">
        <v>239</v>
      </c>
      <c r="C5" s="162"/>
    </row>
    <row r="6" spans="1:3" x14ac:dyDescent="0.25">
      <c r="A6" s="32" t="s">
        <v>273</v>
      </c>
      <c r="B6" s="160"/>
      <c r="C6" s="161"/>
    </row>
    <row r="7" spans="1:3" x14ac:dyDescent="0.25">
      <c r="A7" s="32" t="s">
        <v>274</v>
      </c>
      <c r="B7" s="160"/>
      <c r="C7" s="161"/>
    </row>
    <row r="8" spans="1:3" x14ac:dyDescent="0.25">
      <c r="A8" s="32" t="s">
        <v>275</v>
      </c>
      <c r="B8" s="160"/>
      <c r="C8" s="161"/>
    </row>
    <row r="9" spans="1:3" x14ac:dyDescent="0.25">
      <c r="A9" s="31"/>
      <c r="B9" s="31"/>
      <c r="C9" s="31"/>
    </row>
    <row r="10" spans="1:3" x14ac:dyDescent="0.25">
      <c r="A10" s="31"/>
      <c r="B10" s="31"/>
      <c r="C10" s="31"/>
    </row>
    <row r="11" spans="1:3" x14ac:dyDescent="0.25">
      <c r="A11" s="32" t="s">
        <v>14</v>
      </c>
      <c r="B11" s="32" t="s">
        <v>0</v>
      </c>
      <c r="C11" s="32" t="s">
        <v>16</v>
      </c>
    </row>
    <row r="12" spans="1:3" x14ac:dyDescent="0.25">
      <c r="A12" s="118" t="s">
        <v>234</v>
      </c>
      <c r="B12" s="33">
        <v>41673</v>
      </c>
      <c r="C12" s="117" t="s">
        <v>235</v>
      </c>
    </row>
    <row r="13" spans="1:3" x14ac:dyDescent="0.25">
      <c r="A13" s="117">
        <v>1.1000000000000001</v>
      </c>
      <c r="B13" s="33">
        <v>41716</v>
      </c>
      <c r="C13" s="117" t="s">
        <v>236</v>
      </c>
    </row>
    <row r="14" spans="1:3" x14ac:dyDescent="0.25">
      <c r="A14" s="118" t="s">
        <v>237</v>
      </c>
      <c r="B14" s="33">
        <v>41969</v>
      </c>
      <c r="C14" s="117" t="s">
        <v>238</v>
      </c>
    </row>
    <row r="15" spans="1:3" x14ac:dyDescent="0.25">
      <c r="A15" s="142" t="s">
        <v>346</v>
      </c>
      <c r="B15" s="33">
        <v>42576</v>
      </c>
      <c r="C15" s="34" t="s">
        <v>347</v>
      </c>
    </row>
    <row r="16" spans="1:3" x14ac:dyDescent="0.25">
      <c r="A16" s="34"/>
      <c r="B16" s="34"/>
      <c r="C16" s="34"/>
    </row>
    <row r="17" spans="1:3" x14ac:dyDescent="0.25">
      <c r="A17" s="34"/>
      <c r="B17" s="34"/>
      <c r="C17" s="34"/>
    </row>
    <row r="18" spans="1:3" x14ac:dyDescent="0.25">
      <c r="A18" s="34"/>
      <c r="B18" s="34"/>
      <c r="C18" s="34"/>
    </row>
    <row r="19" spans="1:3" x14ac:dyDescent="0.25">
      <c r="A19" s="34"/>
      <c r="B19" s="34"/>
      <c r="C19" s="34"/>
    </row>
    <row r="23" spans="1:3" x14ac:dyDescent="0.25">
      <c r="A23" s="35" t="s">
        <v>17</v>
      </c>
    </row>
  </sheetData>
  <mergeCells count="8">
    <mergeCell ref="B8:C8"/>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38" customWidth="1"/>
    <col min="5" max="10" width="12.7109375" customWidth="1"/>
    <col min="11" max="11" width="12.7109375" style="38" customWidth="1"/>
    <col min="12" max="12" width="12.7109375" customWidth="1"/>
    <col min="13" max="13" width="12.7109375" style="38" customWidth="1"/>
    <col min="14" max="14" width="12.7109375" customWidth="1"/>
    <col min="15" max="15" width="12.7109375" style="38" customWidth="1"/>
    <col min="16" max="16" width="12.7109375" customWidth="1"/>
    <col min="17" max="17" width="12.7109375" style="38" customWidth="1"/>
    <col min="18" max="28" width="12.7109375" customWidth="1"/>
  </cols>
  <sheetData>
    <row r="2" spans="2:19" ht="18.75" x14ac:dyDescent="0.3">
      <c r="C2" s="191" t="str">
        <f>linkedPage!C2</f>
        <v>Risk = Occ + Sev</v>
      </c>
      <c r="D2" s="191"/>
      <c r="E2" s="191"/>
      <c r="F2" s="191"/>
      <c r="G2" s="191"/>
      <c r="H2" s="191"/>
      <c r="I2" s="191"/>
      <c r="J2" s="191"/>
      <c r="K2" s="191"/>
      <c r="L2" s="191"/>
      <c r="O2" t="str">
        <f>linkedPage!T2</f>
        <v>Note:</v>
      </c>
    </row>
    <row r="3" spans="2:19" ht="18.75" x14ac:dyDescent="0.3">
      <c r="B3" s="34"/>
      <c r="C3" s="190" t="str">
        <f>linkedPage!C3</f>
        <v>Severity</v>
      </c>
      <c r="D3" s="190"/>
      <c r="E3" s="190"/>
      <c r="F3" s="190"/>
      <c r="G3" s="190"/>
      <c r="H3" s="190"/>
      <c r="I3" s="190"/>
      <c r="J3" s="190"/>
      <c r="K3" s="190"/>
      <c r="L3" s="190"/>
      <c r="O3" s="38" t="str">
        <f>linkedPage!T3</f>
        <v>- 'set up' and 'linkedPage' are both linked to workbook 'FMECA Master v3.xlsx'</v>
      </c>
    </row>
    <row r="4" spans="2:19" ht="18.75" x14ac:dyDescent="0.3">
      <c r="B4" s="96" t="str">
        <f>IF(linkedPage!B4=0,"",linkedPage!B4)</f>
        <v>Occ</v>
      </c>
      <c r="C4" s="74">
        <f>IF(linkedPage!C4=0,"",linkedPage!C4)</f>
        <v>1</v>
      </c>
      <c r="D4" s="74">
        <f>IF(linkedPage!D4=0,"",linkedPage!D4)</f>
        <v>2</v>
      </c>
      <c r="E4" s="74">
        <f>IF(linkedPage!E4=0,"",linkedPage!E4)</f>
        <v>3</v>
      </c>
      <c r="F4" s="74">
        <f>IF(linkedPage!F4=0,"",linkedPage!F4)</f>
        <v>4</v>
      </c>
      <c r="G4" s="74">
        <f>IF(linkedPage!G4=0,"",linkedPage!G4)</f>
        <v>5</v>
      </c>
      <c r="H4" s="74">
        <f>IF(linkedPage!H4=0,"",linkedPage!H4)</f>
        <v>6</v>
      </c>
      <c r="I4" s="74">
        <f>IF(linkedPage!I4=0,"",linkedPage!I4)</f>
        <v>7</v>
      </c>
      <c r="J4" s="74">
        <f>IF(linkedPage!J4=0,"",linkedPage!J4)</f>
        <v>8</v>
      </c>
      <c r="K4" s="74">
        <f>IF(linkedPage!K4=0,"",linkedPage!K4)</f>
        <v>9</v>
      </c>
      <c r="L4" s="74">
        <f>IF(linkedPage!L4=0,"",linkedPage!L4)</f>
        <v>10</v>
      </c>
      <c r="M4" s="38" t="str">
        <f>IF(linkedPage!M4=0,"",linkedPage!M4)</f>
        <v/>
      </c>
      <c r="N4" t="str">
        <f>IF(linkedPage!N4=0,"",linkedPage!N4)</f>
        <v/>
      </c>
      <c r="O4" s="38" t="str">
        <f>linkedPage!T4</f>
        <v>- changes to the tables, risk scores, etc must be made in 'FMECA Master v3.xlsx'</v>
      </c>
      <c r="P4" s="38"/>
    </row>
    <row r="5" spans="2:19" s="38" customFormat="1" x14ac:dyDescent="0.25">
      <c r="B5" s="74">
        <f>IF(linkedPage!B5=0,"",linkedPage!B5)</f>
        <v>10</v>
      </c>
      <c r="C5" s="34" t="str">
        <f>IF(linkedPage!C5=0,"",linkedPage!C5)</f>
        <v>Low</v>
      </c>
      <c r="D5" s="34" t="str">
        <f>IF(linkedPage!D5=0,"",linkedPage!D5)</f>
        <v>Med</v>
      </c>
      <c r="E5" s="34" t="str">
        <f>IF(linkedPage!E5=0,"",linkedPage!E5)</f>
        <v>Med</v>
      </c>
      <c r="F5" s="34" t="str">
        <f>IF(linkedPage!F5=0,"",linkedPage!F5)</f>
        <v>Med</v>
      </c>
      <c r="G5" s="34" t="str">
        <f>IF(linkedPage!G5=0,"",linkedPage!G5)</f>
        <v>Med</v>
      </c>
      <c r="H5" s="34" t="str">
        <f>IF(linkedPage!H5=0,"",linkedPage!H5)</f>
        <v>High</v>
      </c>
      <c r="I5" s="34" t="str">
        <f>IF(linkedPage!I5=0,"",linkedPage!I5)</f>
        <v>High</v>
      </c>
      <c r="J5" s="34" t="str">
        <f>IF(linkedPage!J5=0,"",linkedPage!J5)</f>
        <v>High</v>
      </c>
      <c r="K5" s="34" t="str">
        <f>IF(linkedPage!K5=0,"",linkedPage!K5)</f>
        <v>High</v>
      </c>
      <c r="L5" s="34" t="str">
        <f>IF(linkedPage!L5=0,"",linkedPage!L5)</f>
        <v>High</v>
      </c>
      <c r="M5" s="38" t="str">
        <f>IF(linkedPage!M5=0,"",linkedPage!M5)</f>
        <v/>
      </c>
      <c r="N5" t="str">
        <f>IF(linkedPage!N5=0,"",linkedPage!N5)</f>
        <v/>
      </c>
      <c r="O5" s="38" t="str">
        <f>IF(linkedPage!O5=0,"",linkedPage!O5)</f>
        <v/>
      </c>
    </row>
    <row r="6" spans="2:19" s="38" customFormat="1" ht="16.5" x14ac:dyDescent="0.35">
      <c r="B6" s="74">
        <f>IF(linkedPage!B6=0,"",linkedPage!B6)</f>
        <v>9</v>
      </c>
      <c r="C6" s="34" t="str">
        <f>IF(linkedPage!C6=0,"",linkedPage!C6)</f>
        <v>Low</v>
      </c>
      <c r="D6" s="34" t="str">
        <f>IF(linkedPage!D6=0,"",linkedPage!D6)</f>
        <v>Low</v>
      </c>
      <c r="E6" s="34" t="str">
        <f>IF(linkedPage!E6=0,"",linkedPage!E6)</f>
        <v>Med</v>
      </c>
      <c r="F6" s="34" t="str">
        <f>IF(linkedPage!F6=0,"",linkedPage!F6)</f>
        <v>Med</v>
      </c>
      <c r="G6" s="34" t="str">
        <f>IF(linkedPage!G6=0,"",linkedPage!G6)</f>
        <v>Med</v>
      </c>
      <c r="H6" s="34" t="str">
        <f>IF(linkedPage!H6=0,"",linkedPage!H6)</f>
        <v>Med</v>
      </c>
      <c r="I6" s="34" t="str">
        <f>IF(linkedPage!I6=0,"",linkedPage!I6)</f>
        <v>High</v>
      </c>
      <c r="J6" s="34" t="str">
        <f>IF(linkedPage!J6=0,"",linkedPage!J6)</f>
        <v>High</v>
      </c>
      <c r="K6" s="34" t="str">
        <f>IF(linkedPage!K6=0,"",linkedPage!K6)</f>
        <v>High</v>
      </c>
      <c r="L6" s="34" t="str">
        <f>IF(linkedPage!L6=0,"",linkedPage!L6)</f>
        <v>High</v>
      </c>
      <c r="M6" s="61" t="str">
        <f>IF(linkedPage!M6=0,"",linkedPage!M6)</f>
        <v>low &lt;=</v>
      </c>
      <c r="N6" s="31">
        <f>IF(linkedPage!N6=0,"",linkedPage!N6)</f>
        <v>11</v>
      </c>
      <c r="O6" s="38" t="str">
        <f>IF(linkedPage!O6=0,"",linkedPage!O6)</f>
        <v/>
      </c>
    </row>
    <row r="7" spans="2:19" s="38" customFormat="1" ht="16.5" x14ac:dyDescent="0.35">
      <c r="B7" s="74">
        <f>IF(linkedPage!B7=0,"",linkedPage!B7)</f>
        <v>8</v>
      </c>
      <c r="C7" s="34" t="str">
        <f>IF(linkedPage!C7=0,"",linkedPage!C7)</f>
        <v>Low</v>
      </c>
      <c r="D7" s="34" t="str">
        <f>IF(linkedPage!D7=0,"",linkedPage!D7)</f>
        <v>Low</v>
      </c>
      <c r="E7" s="34" t="str">
        <f>IF(linkedPage!E7=0,"",linkedPage!E7)</f>
        <v>Low</v>
      </c>
      <c r="F7" s="34" t="str">
        <f>IF(linkedPage!F7=0,"",linkedPage!F7)</f>
        <v>Med</v>
      </c>
      <c r="G7" s="34" t="str">
        <f>IF(linkedPage!G7=0,"",linkedPage!G7)</f>
        <v>Med</v>
      </c>
      <c r="H7" s="34" t="str">
        <f>IF(linkedPage!H7=0,"",linkedPage!H7)</f>
        <v>Med</v>
      </c>
      <c r="I7" s="34" t="str">
        <f>IF(linkedPage!I7=0,"",linkedPage!I7)</f>
        <v>Med</v>
      </c>
      <c r="J7" s="34" t="str">
        <f>IF(linkedPage!J7=0,"",linkedPage!J7)</f>
        <v>High</v>
      </c>
      <c r="K7" s="34" t="str">
        <f>IF(linkedPage!K7=0,"",linkedPage!K7)</f>
        <v>High</v>
      </c>
      <c r="L7" s="34" t="str">
        <f>IF(linkedPage!L7=0,"",linkedPage!L7)</f>
        <v>High</v>
      </c>
      <c r="M7" s="61" t="str">
        <f>IF(linkedPage!M7=0,"",linkedPage!M7)</f>
        <v>high&gt;</v>
      </c>
      <c r="N7" s="31">
        <f>IF(linkedPage!N7=0,"",linkedPage!N7)</f>
        <v>15</v>
      </c>
      <c r="O7" s="38" t="str">
        <f>IF(linkedPage!O7=0,"",linkedPage!O7)</f>
        <v/>
      </c>
    </row>
    <row r="8" spans="2:19" s="38" customFormat="1" x14ac:dyDescent="0.25">
      <c r="B8" s="74">
        <f>IF(linkedPage!B8=0,"",linkedPage!B8)</f>
        <v>7</v>
      </c>
      <c r="C8" s="34" t="str">
        <f>IF(linkedPage!C8=0,"",linkedPage!C8)</f>
        <v>Low</v>
      </c>
      <c r="D8" s="34" t="str">
        <f>IF(linkedPage!D8=0,"",linkedPage!D8)</f>
        <v>Low</v>
      </c>
      <c r="E8" s="34" t="str">
        <f>IF(linkedPage!E8=0,"",linkedPage!E8)</f>
        <v>Low</v>
      </c>
      <c r="F8" s="34" t="str">
        <f>IF(linkedPage!F8=0,"",linkedPage!F8)</f>
        <v>Low</v>
      </c>
      <c r="G8" s="34" t="str">
        <f>IF(linkedPage!G8=0,"",linkedPage!G8)</f>
        <v>Med</v>
      </c>
      <c r="H8" s="34" t="str">
        <f>IF(linkedPage!H8=0,"",linkedPage!H8)</f>
        <v>Med</v>
      </c>
      <c r="I8" s="34" t="str">
        <f>IF(linkedPage!I8=0,"",linkedPage!I8)</f>
        <v>Med</v>
      </c>
      <c r="J8" s="34" t="str">
        <f>IF(linkedPage!J8=0,"",linkedPage!J8)</f>
        <v>Med</v>
      </c>
      <c r="K8" s="34" t="str">
        <f>IF(linkedPage!K8=0,"",linkedPage!K8)</f>
        <v>High</v>
      </c>
      <c r="L8" s="34" t="str">
        <f>IF(linkedPage!L8=0,"",linkedPage!L8)</f>
        <v>High</v>
      </c>
      <c r="M8" s="38" t="str">
        <f>IF(linkedPage!M8=0,"",linkedPage!M8)</f>
        <v/>
      </c>
      <c r="N8" t="str">
        <f>IF(linkedPage!N8=0,"",linkedPage!N8)</f>
        <v/>
      </c>
      <c r="O8" s="38" t="str">
        <f>IF(linkedPage!O8=0,"",linkedPage!O8)</f>
        <v/>
      </c>
    </row>
    <row r="9" spans="2:19" s="38" customFormat="1" x14ac:dyDescent="0.25">
      <c r="B9" s="74">
        <f>IF(linkedPage!B9=0,"",linkedPage!B9)</f>
        <v>6</v>
      </c>
      <c r="C9" s="34" t="str">
        <f>IF(linkedPage!C9=0,"",linkedPage!C9)</f>
        <v>Low</v>
      </c>
      <c r="D9" s="34" t="str">
        <f>IF(linkedPage!D9=0,"",linkedPage!D9)</f>
        <v>Low</v>
      </c>
      <c r="E9" s="34" t="str">
        <f>IF(linkedPage!E9=0,"",linkedPage!E9)</f>
        <v>Low</v>
      </c>
      <c r="F9" s="34" t="str">
        <f>IF(linkedPage!F9=0,"",linkedPage!F9)</f>
        <v>Low</v>
      </c>
      <c r="G9" s="34" t="str">
        <f>IF(linkedPage!G9=0,"",linkedPage!G9)</f>
        <v>Low</v>
      </c>
      <c r="H9" s="34" t="str">
        <f>IF(linkedPage!H9=0,"",linkedPage!H9)</f>
        <v>Med</v>
      </c>
      <c r="I9" s="34" t="str">
        <f>IF(linkedPage!I9=0,"",linkedPage!I9)</f>
        <v>Med</v>
      </c>
      <c r="J9" s="34" t="str">
        <f>IF(linkedPage!J9=0,"",linkedPage!J9)</f>
        <v>Med</v>
      </c>
      <c r="K9" s="34" t="str">
        <f>IF(linkedPage!K9=0,"",linkedPage!K9)</f>
        <v>Med</v>
      </c>
      <c r="L9" s="34" t="str">
        <f>IF(linkedPage!L9=0,"",linkedPage!L9)</f>
        <v>High</v>
      </c>
      <c r="M9" s="38" t="str">
        <f>IF(linkedPage!M9=0,"",linkedPage!M9)</f>
        <v/>
      </c>
      <c r="N9" t="str">
        <f>IF(linkedPage!N9=0,"",linkedPage!N9)</f>
        <v/>
      </c>
      <c r="O9" s="38" t="str">
        <f>IF(linkedPage!O9=0,"",linkedPage!O9)</f>
        <v/>
      </c>
    </row>
    <row r="10" spans="2:19" s="38" customFormat="1" x14ac:dyDescent="0.25">
      <c r="B10" s="74">
        <f>IF(linkedPage!B10=0,"",linkedPage!B10)</f>
        <v>5</v>
      </c>
      <c r="C10" s="34" t="str">
        <f>IF(linkedPage!C10=0,"",linkedPage!C10)</f>
        <v>Low</v>
      </c>
      <c r="D10" s="34" t="str">
        <f>IF(linkedPage!D10=0,"",linkedPage!D10)</f>
        <v>Low</v>
      </c>
      <c r="E10" s="34" t="str">
        <f>IF(linkedPage!E10=0,"",linkedPage!E10)</f>
        <v>Low</v>
      </c>
      <c r="F10" s="34" t="str">
        <f>IF(linkedPage!F10=0,"",linkedPage!F10)</f>
        <v>Low</v>
      </c>
      <c r="G10" s="34" t="str">
        <f>IF(linkedPage!G10=0,"",linkedPage!G10)</f>
        <v>Low</v>
      </c>
      <c r="H10" s="34" t="str">
        <f>IF(linkedPage!H10=0,"",linkedPage!H10)</f>
        <v>Low</v>
      </c>
      <c r="I10" s="34" t="str">
        <f>IF(linkedPage!I10=0,"",linkedPage!I10)</f>
        <v>Med</v>
      </c>
      <c r="J10" s="34" t="str">
        <f>IF(linkedPage!J10=0,"",linkedPage!J10)</f>
        <v>Med</v>
      </c>
      <c r="K10" s="34" t="str">
        <f>IF(linkedPage!K10=0,"",linkedPage!K10)</f>
        <v>Med</v>
      </c>
      <c r="L10" s="34" t="str">
        <f>IF(linkedPage!L10=0,"",linkedPage!L10)</f>
        <v>Med</v>
      </c>
      <c r="M10" s="38" t="str">
        <f>IF(linkedPage!M10=0,"",linkedPage!M10)</f>
        <v/>
      </c>
      <c r="N10" s="38" t="str">
        <f>IF(linkedPage!N10=0,"",linkedPage!N10)</f>
        <v/>
      </c>
      <c r="O10" s="38" t="str">
        <f>IF(linkedPage!O10=0,"",linkedPage!O10)</f>
        <v/>
      </c>
    </row>
    <row r="11" spans="2:19" s="38" customFormat="1" x14ac:dyDescent="0.25">
      <c r="B11" s="74">
        <f>IF(linkedPage!B11=0,"",linkedPage!B11)</f>
        <v>4</v>
      </c>
      <c r="C11" s="34" t="str">
        <f>IF(linkedPage!C11=0,"",linkedPage!C11)</f>
        <v>Low</v>
      </c>
      <c r="D11" s="34" t="str">
        <f>IF(linkedPage!D11=0,"",linkedPage!D11)</f>
        <v>Low</v>
      </c>
      <c r="E11" s="34" t="str">
        <f>IF(linkedPage!E11=0,"",linkedPage!E11)</f>
        <v>Low</v>
      </c>
      <c r="F11" s="34" t="str">
        <f>IF(linkedPage!F11=0,"",linkedPage!F11)</f>
        <v>Low</v>
      </c>
      <c r="G11" s="34" t="str">
        <f>IF(linkedPage!G11=0,"",linkedPage!G11)</f>
        <v>Low</v>
      </c>
      <c r="H11" s="34" t="str">
        <f>IF(linkedPage!H11=0,"",linkedPage!H11)</f>
        <v>Low</v>
      </c>
      <c r="I11" s="34" t="str">
        <f>IF(linkedPage!I11=0,"",linkedPage!I11)</f>
        <v>Low</v>
      </c>
      <c r="J11" s="34" t="str">
        <f>IF(linkedPage!J11=0,"",linkedPage!J11)</f>
        <v>Med</v>
      </c>
      <c r="K11" s="34" t="str">
        <f>IF(linkedPage!K11=0,"",linkedPage!K11)</f>
        <v>Med</v>
      </c>
      <c r="L11" s="34" t="str">
        <f>IF(linkedPage!L11=0,"",linkedPage!L11)</f>
        <v>Med</v>
      </c>
      <c r="M11" s="38" t="str">
        <f>IF(linkedPage!M11=0,"",linkedPage!M11)</f>
        <v/>
      </c>
      <c r="N11" s="58" t="str">
        <f>IF(linkedPage!N11=0,"",linkedPage!N11)</f>
        <v>Low</v>
      </c>
      <c r="O11" s="60" t="str">
        <f>IF(linkedPage!O11=0,"",linkedPage!O11)</f>
        <v>Tolerable, no engineer action required</v>
      </c>
    </row>
    <row r="12" spans="2:19" s="38" customFormat="1" x14ac:dyDescent="0.25">
      <c r="B12" s="74">
        <f>IF(linkedPage!B12=0,"",linkedPage!B12)</f>
        <v>3</v>
      </c>
      <c r="C12" s="34" t="str">
        <f>IF(linkedPage!C12=0,"",linkedPage!C12)</f>
        <v>Low</v>
      </c>
      <c r="D12" s="34" t="str">
        <f>IF(linkedPage!D12=0,"",linkedPage!D12)</f>
        <v>Low</v>
      </c>
      <c r="E12" s="34" t="str">
        <f>IF(linkedPage!E12=0,"",linkedPage!E12)</f>
        <v>Low</v>
      </c>
      <c r="F12" s="34" t="str">
        <f>IF(linkedPage!F12=0,"",linkedPage!F12)</f>
        <v>Low</v>
      </c>
      <c r="G12" s="34" t="str">
        <f>IF(linkedPage!G12=0,"",linkedPage!G12)</f>
        <v>Low</v>
      </c>
      <c r="H12" s="34" t="str">
        <f>IF(linkedPage!H12=0,"",linkedPage!H12)</f>
        <v>Low</v>
      </c>
      <c r="I12" s="34" t="str">
        <f>IF(linkedPage!I12=0,"",linkedPage!I12)</f>
        <v>Low</v>
      </c>
      <c r="J12" s="34" t="str">
        <f>IF(linkedPage!J12=0,"",linkedPage!J12)</f>
        <v>Low</v>
      </c>
      <c r="K12" s="34" t="str">
        <f>IF(linkedPage!K12=0,"",linkedPage!K12)</f>
        <v>Med</v>
      </c>
      <c r="L12" s="34" t="str">
        <f>IF(linkedPage!L12=0,"",linkedPage!L12)</f>
        <v>Med</v>
      </c>
      <c r="M12" s="38" t="str">
        <f>IF(linkedPage!M12=0,"",linkedPage!M12)</f>
        <v/>
      </c>
      <c r="N12" s="56" t="str">
        <f>IF(linkedPage!N12=0,"",linkedPage!N12)</f>
        <v>Med</v>
      </c>
      <c r="O12" s="60" t="str">
        <f>IF(linkedPage!O12=0,"",linkedPage!O12)</f>
        <v>Undesirable, consider engineer actions to mitigate risk</v>
      </c>
    </row>
    <row r="13" spans="2:19" s="38" customFormat="1" x14ac:dyDescent="0.25">
      <c r="B13" s="74">
        <f>IF(linkedPage!B13=0,"",linkedPage!B13)</f>
        <v>2</v>
      </c>
      <c r="C13" s="34" t="str">
        <f>IF(linkedPage!C13=0,"",linkedPage!C13)</f>
        <v>Low</v>
      </c>
      <c r="D13" s="34" t="str">
        <f>IF(linkedPage!D13=0,"",linkedPage!D13)</f>
        <v>Low</v>
      </c>
      <c r="E13" s="34" t="str">
        <f>IF(linkedPage!E13=0,"",linkedPage!E13)</f>
        <v>Low</v>
      </c>
      <c r="F13" s="34" t="str">
        <f>IF(linkedPage!F13=0,"",linkedPage!F13)</f>
        <v>Low</v>
      </c>
      <c r="G13" s="34" t="str">
        <f>IF(linkedPage!G13=0,"",linkedPage!G13)</f>
        <v>Low</v>
      </c>
      <c r="H13" s="34" t="str">
        <f>IF(linkedPage!H13=0,"",linkedPage!H13)</f>
        <v>Low</v>
      </c>
      <c r="I13" s="34" t="str">
        <f>IF(linkedPage!I13=0,"",linkedPage!I13)</f>
        <v>Low</v>
      </c>
      <c r="J13" s="34" t="str">
        <f>IF(linkedPage!J13=0,"",linkedPage!J13)</f>
        <v>Low</v>
      </c>
      <c r="K13" s="34" t="str">
        <f>IF(linkedPage!K13=0,"",linkedPage!K13)</f>
        <v>Low</v>
      </c>
      <c r="L13" s="34" t="str">
        <f>IF(linkedPage!L13=0,"",linkedPage!L13)</f>
        <v>Med</v>
      </c>
      <c r="M13" s="38" t="str">
        <f>IF(linkedPage!M13=0,"",linkedPage!M13)</f>
        <v/>
      </c>
      <c r="N13" s="59" t="str">
        <f>IF(linkedPage!N13=0,"",linkedPage!N13)</f>
        <v>High</v>
      </c>
      <c r="O13" s="60" t="str">
        <f>IF(linkedPage!O13=0,"",linkedPage!O13)</f>
        <v>Intolerable, engineering action required</v>
      </c>
    </row>
    <row r="14" spans="2:19" s="38" customFormat="1" x14ac:dyDescent="0.25">
      <c r="B14" s="74">
        <f>IF(linkedPage!B14=0,"",linkedPage!B14)</f>
        <v>1</v>
      </c>
      <c r="C14" s="34" t="str">
        <f>IF(linkedPage!C14=0,"",linkedPage!C14)</f>
        <v>Low</v>
      </c>
      <c r="D14" s="34" t="str">
        <f>IF(linkedPage!D14=0,"",linkedPage!D14)</f>
        <v>Low</v>
      </c>
      <c r="E14" s="34" t="str">
        <f>IF(linkedPage!E14=0,"",linkedPage!E14)</f>
        <v>Low</v>
      </c>
      <c r="F14" s="34" t="str">
        <f>IF(linkedPage!F14=0,"",linkedPage!F14)</f>
        <v>Low</v>
      </c>
      <c r="G14" s="34" t="str">
        <f>IF(linkedPage!G14=0,"",linkedPage!G14)</f>
        <v>Low</v>
      </c>
      <c r="H14" s="34" t="str">
        <f>IF(linkedPage!H14=0,"",linkedPage!H14)</f>
        <v>Low</v>
      </c>
      <c r="I14" s="34" t="str">
        <f>IF(linkedPage!I14=0,"",linkedPage!I14)</f>
        <v>Low</v>
      </c>
      <c r="J14" s="34" t="str">
        <f>IF(linkedPage!J14=0,"",linkedPage!J14)</f>
        <v>Low</v>
      </c>
      <c r="K14" s="34" t="str">
        <f>IF(linkedPage!K14=0,"",linkedPage!K14)</f>
        <v>Low</v>
      </c>
      <c r="L14" s="34" t="str">
        <f>IF(linkedPage!L14=0,"",linkedPage!L14)</f>
        <v>Low</v>
      </c>
      <c r="M14" s="38" t="str">
        <f>IF(linkedPage!M14=0,"",linkedPage!M14)</f>
        <v/>
      </c>
      <c r="N14" t="str">
        <f>IF(linkedPage!N14=0,"",linkedPage!N14)</f>
        <v/>
      </c>
      <c r="O14" s="38" t="str">
        <f>IF(linkedPage!O14=0,"",linkedPage!O14)</f>
        <v/>
      </c>
    </row>
    <row r="16" spans="2:19" ht="19.5" thickBot="1" x14ac:dyDescent="0.35">
      <c r="B16" s="90" t="str">
        <f>IF(linkedPage!B16=0,"",linkedPage!B16)</f>
        <v>Occurrence</v>
      </c>
      <c r="C16" s="91"/>
      <c r="D16" s="91"/>
      <c r="E16" s="91"/>
      <c r="F16" s="91"/>
      <c r="H16" s="90" t="str">
        <f>IF(linkedPage!H16=0,"",linkedPage!H16)</f>
        <v>Severity</v>
      </c>
      <c r="I16" s="91"/>
      <c r="J16" s="91"/>
      <c r="K16" s="91"/>
      <c r="L16" s="91"/>
      <c r="M16" s="91"/>
      <c r="N16" s="91"/>
      <c r="O16" s="91"/>
      <c r="P16" s="91"/>
      <c r="Q16" s="91"/>
      <c r="R16" s="70"/>
      <c r="S16" s="70"/>
    </row>
    <row r="17" spans="1:23" ht="57" thickBot="1" x14ac:dyDescent="0.35">
      <c r="B17" s="92" t="str">
        <f>IF(linkedPage!B17=0,"",linkedPage!B17)</f>
        <v>Rating</v>
      </c>
      <c r="C17" s="182" t="str">
        <f>IF(linkedPage!C17=0,"",linkedPage!C17)</f>
        <v>Occurrence</v>
      </c>
      <c r="D17" s="183" t="str">
        <f>IF(linkedPage!D17=0,"",linkedPage!D17)</f>
        <v/>
      </c>
      <c r="E17" s="92" t="str">
        <f>IF(linkedPage!E17=0,"",linkedPage!E17)</f>
        <v>Annual Failure Rate</v>
      </c>
      <c r="F17" s="93" t="str">
        <f>IF(linkedPage!F17=0,"",linkedPage!F17)</f>
        <v>Return Period [years]</v>
      </c>
      <c r="G17" s="52"/>
      <c r="H17" s="94" t="str">
        <f>IF(linkedPage!H17=0,"",linkedPage!H17)</f>
        <v>Rating</v>
      </c>
      <c r="I17" s="95" t="str">
        <f>IF(linkedPage!I17=0,"",linkedPage!I17)</f>
        <v>Severity</v>
      </c>
      <c r="J17" s="188" t="str">
        <f>IF(linkedPage!J17=0,"",linkedPage!J17)</f>
        <v>Human Safety</v>
      </c>
      <c r="K17" s="181" t="str">
        <f>IF(linkedPage!K17=0,"",linkedPage!K17)</f>
        <v/>
      </c>
      <c r="L17" s="188" t="str">
        <f>IF(linkedPage!L17=0,"",linkedPage!L17)</f>
        <v>Environment</v>
      </c>
      <c r="M17" s="189" t="str">
        <f>IF(linkedPage!M17=0,"",linkedPage!M17)</f>
        <v/>
      </c>
      <c r="N17" s="180" t="str">
        <f>IF(linkedPage!N17=0,"",linkedPage!N17)</f>
        <v>WEC Operation</v>
      </c>
      <c r="O17" s="181" t="str">
        <f>IF(linkedPage!O17=0,"",linkedPage!O17)</f>
        <v/>
      </c>
      <c r="P17" s="184" t="str">
        <f>IF(linkedPage!P17=0,"",linkedPage!P17)</f>
        <v xml:space="preserve">Assets </v>
      </c>
      <c r="Q17" s="185" t="str">
        <f>IF(linkedPage!Q17=0,"",linkedPage!Q17)</f>
        <v/>
      </c>
      <c r="R17" s="71"/>
      <c r="S17" s="70"/>
    </row>
    <row r="18" spans="1:23" ht="42.75" customHeight="1" x14ac:dyDescent="0.25">
      <c r="A18" s="38"/>
      <c r="B18" s="55">
        <f>IF(linkedPage!B18=0,"",linkedPage!B18)</f>
        <v>1</v>
      </c>
      <c r="C18" s="192" t="str">
        <f>IF(linkedPage!C18=0,"",linkedPage!C18)</f>
        <v>Exceptionally unlikely to occur</v>
      </c>
      <c r="D18" s="193" t="str">
        <f>IF(linkedPage!D18=0,"",linkedPage!D18)</f>
        <v/>
      </c>
      <c r="E18" s="75">
        <f>IF(linkedPage!E18=0,"",linkedPage!E18)</f>
        <v>1.0000000000000001E-5</v>
      </c>
      <c r="F18" s="86">
        <f>IF(linkedPage!F18=0,"",linkedPage!F18)</f>
        <v>100000</v>
      </c>
      <c r="G18" s="52"/>
      <c r="H18" s="69">
        <f>IF(linkedPage!H18=0,"",linkedPage!H18)</f>
        <v>1</v>
      </c>
      <c r="I18" s="67" t="str">
        <f>IF(linkedPage!I18=0,"",linkedPage!I18)</f>
        <v>Insignificant</v>
      </c>
      <c r="J18" s="168" t="str">
        <f>IF(linkedPage!J18=0,"",linkedPage!J18)</f>
        <v>Negligible injury, effect on health (e.g. band aid)</v>
      </c>
      <c r="K18" s="187" t="str">
        <f>IF(linkedPage!K18=0,"",linkedPage!K18)</f>
        <v/>
      </c>
      <c r="L18" s="168" t="str">
        <f>IF(linkedPage!L18=0,"",linkedPage!L18)</f>
        <v>Negligible pollution or no effect on environment</v>
      </c>
      <c r="M18" s="169" t="str">
        <f>IF(linkedPage!M18=0,"",linkedPage!M18)</f>
        <v/>
      </c>
      <c r="N18" s="186" t="str">
        <f>IF(linkedPage!N18=0,"",linkedPage!N18)</f>
        <v>Negligible effect on performance</v>
      </c>
      <c r="O18" s="187" t="str">
        <f>IF(linkedPage!O18=0,"",linkedPage!O18)</f>
        <v/>
      </c>
      <c r="P18" s="168" t="str">
        <f>IF(linkedPage!P18=0,"",linkedPage!P18)</f>
        <v>Negligible</v>
      </c>
      <c r="Q18" s="169" t="str">
        <f>IF(linkedPage!Q18=0,"",linkedPage!Q18)</f>
        <v/>
      </c>
      <c r="R18" s="72"/>
      <c r="S18" s="70"/>
      <c r="U18" s="38"/>
    </row>
    <row r="19" spans="1:23" ht="42.75" customHeight="1" x14ac:dyDescent="0.25">
      <c r="A19" s="38"/>
      <c r="B19" s="53">
        <f>IF(linkedPage!B19=0,"",linkedPage!B19)</f>
        <v>2</v>
      </c>
      <c r="C19" s="174" t="str">
        <f>IF(linkedPage!C19=0,"",linkedPage!C19)</f>
        <v/>
      </c>
      <c r="D19" s="175" t="str">
        <f>IF(linkedPage!D19=0,"",linkedPage!D19)</f>
        <v/>
      </c>
      <c r="E19" s="76">
        <f>IF(linkedPage!E19=0,"",linkedPage!E19)</f>
        <v>3.1622776601683789E-5</v>
      </c>
      <c r="F19" s="87">
        <f>IF(linkedPage!F19=0,"",linkedPage!F19)</f>
        <v>31600</v>
      </c>
      <c r="G19" s="52"/>
      <c r="H19" s="53">
        <f>IF(linkedPage!H19=0,"",linkedPage!H19)</f>
        <v>2</v>
      </c>
      <c r="I19" s="68" t="str">
        <f>IF(linkedPage!I19=0,"",linkedPage!I19)</f>
        <v/>
      </c>
      <c r="J19" s="170" t="str">
        <f>IF(linkedPage!J19=0,"",linkedPage!J19)</f>
        <v/>
      </c>
      <c r="K19" s="165" t="str">
        <f>IF(linkedPage!K19=0,"",linkedPage!K19)</f>
        <v/>
      </c>
      <c r="L19" s="170" t="str">
        <f>IF(linkedPage!L19=0,"",linkedPage!L19)</f>
        <v/>
      </c>
      <c r="M19" s="171" t="str">
        <f>IF(linkedPage!M19=0,"",linkedPage!M19)</f>
        <v/>
      </c>
      <c r="N19" s="164" t="str">
        <f>IF(linkedPage!N19=0,"",linkedPage!N19)</f>
        <v/>
      </c>
      <c r="O19" s="165" t="str">
        <f>IF(linkedPage!O19=0,"",linkedPage!O19)</f>
        <v/>
      </c>
      <c r="P19" s="170" t="str">
        <f>IF(linkedPage!P19=0,"",linkedPage!P19)</f>
        <v>[1.5k USD]</v>
      </c>
      <c r="Q19" s="171" t="str">
        <f>IF(linkedPage!Q19=0,"",linkedPage!Q19)</f>
        <v/>
      </c>
      <c r="R19" s="72"/>
      <c r="S19" s="70"/>
    </row>
    <row r="20" spans="1:23" ht="42.75" customHeight="1" x14ac:dyDescent="0.25">
      <c r="A20" s="38"/>
      <c r="B20" s="53">
        <f>IF(linkedPage!B20=0,"",linkedPage!B20)</f>
        <v>3</v>
      </c>
      <c r="C20" s="174" t="str">
        <f>IF(linkedPage!C20=0,"",linkedPage!C20)</f>
        <v>Extremely unlikely to occur</v>
      </c>
      <c r="D20" s="175" t="str">
        <f>IF(linkedPage!D20=0,"",linkedPage!D20)</f>
        <v/>
      </c>
      <c r="E20" s="77">
        <f>IF(linkedPage!E20=0,"",linkedPage!E20)</f>
        <v>1E-4</v>
      </c>
      <c r="F20" s="87">
        <f>IF(linkedPage!F20=0,"",linkedPage!F20)</f>
        <v>10000</v>
      </c>
      <c r="G20" s="52"/>
      <c r="H20" s="53">
        <f>IF(linkedPage!H20=0,"",linkedPage!H20)</f>
        <v>3</v>
      </c>
      <c r="I20" s="68" t="str">
        <f>IF(linkedPage!I20=0,"",linkedPage!I20)</f>
        <v>Minor</v>
      </c>
      <c r="J20" s="170" t="str">
        <f>IF(linkedPage!J20=0,"",linkedPage!J20)</f>
        <v>Minor injuries, health effects (e.g. stitches)</v>
      </c>
      <c r="K20" s="165" t="str">
        <f>IF(linkedPage!K20=0,"",linkedPage!K20)</f>
        <v/>
      </c>
      <c r="L20" s="170" t="str">
        <f>IF(linkedPage!L20=0,"",linkedPage!L20)</f>
        <v>Minor pollution / slight effect on environment (min disruption on marine life)</v>
      </c>
      <c r="M20" s="171" t="str">
        <f>IF(linkedPage!M20=0,"",linkedPage!M20)</f>
        <v/>
      </c>
      <c r="N20" s="164" t="str">
        <f>IF(linkedPage!N20=0,"",linkedPage!N20)</f>
        <v>Minor system degradation</v>
      </c>
      <c r="O20" s="165" t="str">
        <f>IF(linkedPage!O20=0,"",linkedPage!O20)</f>
        <v/>
      </c>
      <c r="P20" s="170" t="str">
        <f>IF(linkedPage!P20=0,"",linkedPage!P20)</f>
        <v>Repairable in-situ, at next maintenance interval 
[5k USD]</v>
      </c>
      <c r="Q20" s="171" t="str">
        <f>IF(linkedPage!Q20=0,"",linkedPage!Q20)</f>
        <v/>
      </c>
      <c r="R20" s="72"/>
      <c r="S20" s="70"/>
      <c r="U20" s="38"/>
    </row>
    <row r="21" spans="1:23" ht="42.75" customHeight="1" x14ac:dyDescent="0.25">
      <c r="A21" s="38"/>
      <c r="B21" s="53">
        <f>IF(linkedPage!B21=0,"",linkedPage!B21)</f>
        <v>4</v>
      </c>
      <c r="C21" s="174" t="str">
        <f>IF(linkedPage!C21=0,"",linkedPage!C21)</f>
        <v/>
      </c>
      <c r="D21" s="175" t="str">
        <f>IF(linkedPage!D21=0,"",linkedPage!D21)</f>
        <v/>
      </c>
      <c r="E21" s="77">
        <f>IF(linkedPage!E21=0,"",linkedPage!E21)</f>
        <v>3.1622776601683789E-4</v>
      </c>
      <c r="F21" s="87">
        <f>IF(linkedPage!F21=0,"",linkedPage!F21)</f>
        <v>3160</v>
      </c>
      <c r="G21" s="52"/>
      <c r="H21" s="53">
        <f>IF(linkedPage!H21=0,"",linkedPage!H21)</f>
        <v>4</v>
      </c>
      <c r="I21" s="68" t="str">
        <f>IF(linkedPage!I21=0,"",linkedPage!I21)</f>
        <v/>
      </c>
      <c r="J21" s="170" t="str">
        <f>IF(linkedPage!J21=0,"",linkedPage!J21)</f>
        <v>Moderate injuries and/or health effects (e.g. broken bone)</v>
      </c>
      <c r="K21" s="165" t="str">
        <f>IF(linkedPage!K21=0,"",linkedPage!K21)</f>
        <v/>
      </c>
      <c r="L21" s="170" t="str">
        <f>IF(linkedPage!L21=0,"",linkedPage!L21)</f>
        <v/>
      </c>
      <c r="M21" s="171" t="str">
        <f>IF(linkedPage!M21=0,"",linkedPage!M21)</f>
        <v/>
      </c>
      <c r="N21" s="164" t="str">
        <f>IF(linkedPage!N21=0,"",linkedPage!N21)</f>
        <v>Moderate system degradation (e.g. loss of MoMo)</v>
      </c>
      <c r="O21" s="165" t="str">
        <f>IF(linkedPage!O21=0,"",linkedPage!O21)</f>
        <v/>
      </c>
      <c r="P21" s="170" t="str">
        <f>IF(linkedPage!P21=0,"",linkedPage!P21)</f>
        <v>Repairable in-situ, outside maintenance interval 
(1 day) [15k USD]</v>
      </c>
      <c r="Q21" s="171" t="str">
        <f>IF(linkedPage!Q21=0,"",linkedPage!Q21)</f>
        <v/>
      </c>
      <c r="R21" s="72"/>
      <c r="S21" s="70"/>
      <c r="U21" s="38"/>
    </row>
    <row r="22" spans="1:23" ht="42.75" customHeight="1" x14ac:dyDescent="0.25">
      <c r="A22" s="38"/>
      <c r="B22" s="53">
        <f>IF(linkedPage!B22=0,"",linkedPage!B22)</f>
        <v>5</v>
      </c>
      <c r="C22" s="174" t="str">
        <f>IF(linkedPage!C22=0,"",linkedPage!C22)</f>
        <v>Very unlikely to occur</v>
      </c>
      <c r="D22" s="175" t="str">
        <f>IF(linkedPage!D22=0,"",linkedPage!D22)</f>
        <v/>
      </c>
      <c r="E22" s="78">
        <f>IF(linkedPage!E22=0,"",linkedPage!E22)</f>
        <v>1E-3</v>
      </c>
      <c r="F22" s="87">
        <f>IF(linkedPage!F22=0,"",linkedPage!F22)</f>
        <v>1000</v>
      </c>
      <c r="G22" s="52"/>
      <c r="H22" s="53">
        <f>IF(linkedPage!H22=0,"",linkedPage!H22)</f>
        <v>5</v>
      </c>
      <c r="I22" s="68" t="str">
        <f>IF(linkedPage!I22=0,"",linkedPage!I22)</f>
        <v>Major</v>
      </c>
      <c r="J22" s="170" t="str">
        <f>IF(linkedPage!J22=0,"",linkedPage!J22)</f>
        <v/>
      </c>
      <c r="K22" s="165" t="str">
        <f>IF(linkedPage!K22=0,"",linkedPage!K22)</f>
        <v/>
      </c>
      <c r="L22" s="170" t="str">
        <f>IF(linkedPage!L22=0,"",linkedPage!L22)</f>
        <v>Limited levels of pollution, manageable / moderate effect on environment</v>
      </c>
      <c r="M22" s="171" t="str">
        <f>IF(linkedPage!M22=0,"",linkedPage!M22)</f>
        <v/>
      </c>
      <c r="N22" s="164" t="str">
        <f>IF(linkedPage!N22=0,"",linkedPage!N22)</f>
        <v/>
      </c>
      <c r="O22" s="165" t="str">
        <f>IF(linkedPage!O22=0,"",linkedPage!O22)</f>
        <v/>
      </c>
      <c r="P22" s="170" t="str">
        <f>IF(linkedPage!P22=0,"",linkedPage!P22)</f>
        <v>Repairable in-situ, outside maintenance interval 
(1 week) [50k USD]</v>
      </c>
      <c r="Q22" s="171" t="str">
        <f>IF(linkedPage!Q22=0,"",linkedPage!Q22)</f>
        <v/>
      </c>
      <c r="R22" s="72"/>
      <c r="S22" s="70"/>
      <c r="T22" s="38"/>
      <c r="U22" s="38"/>
    </row>
    <row r="23" spans="1:23" ht="42.75" customHeight="1" x14ac:dyDescent="0.25">
      <c r="A23" s="38"/>
      <c r="B23" s="53">
        <f>IF(linkedPage!B23=0,"",linkedPage!B23)</f>
        <v>6</v>
      </c>
      <c r="C23" s="174" t="str">
        <f>IF(linkedPage!C23=0,"",linkedPage!C23)</f>
        <v/>
      </c>
      <c r="D23" s="175" t="str">
        <f>IF(linkedPage!D23=0,"",linkedPage!D23)</f>
        <v/>
      </c>
      <c r="E23" s="78">
        <f>IF(linkedPage!E23=0,"",linkedPage!E23)</f>
        <v>3.162277660168379E-3</v>
      </c>
      <c r="F23" s="87">
        <f>IF(linkedPage!F23=0,"",linkedPage!F23)</f>
        <v>316</v>
      </c>
      <c r="G23" s="52"/>
      <c r="H23" s="53">
        <f>IF(linkedPage!H23=0,"",linkedPage!H23)</f>
        <v>6</v>
      </c>
      <c r="I23" s="68" t="str">
        <f>IF(linkedPage!I23=0,"",linkedPage!I23)</f>
        <v/>
      </c>
      <c r="J23" s="170" t="str">
        <f>IF(linkedPage!J23=0,"",linkedPage!J23)</f>
        <v/>
      </c>
      <c r="K23" s="165" t="str">
        <f>IF(linkedPage!K23=0,"",linkedPage!K23)</f>
        <v/>
      </c>
      <c r="L23" s="170" t="str">
        <f>IF(linkedPage!L23=0,"",linkedPage!L23)</f>
        <v/>
      </c>
      <c r="M23" s="171" t="str">
        <f>IF(linkedPage!M23=0,"",linkedPage!M23)</f>
        <v/>
      </c>
      <c r="N23" s="164" t="str">
        <f>IF(linkedPage!N23=0,"",linkedPage!N23)</f>
        <v>Major system degradation or loss of operation for 1 month</v>
      </c>
      <c r="O23" s="165" t="str">
        <f>IF(linkedPage!O23=0,"",linkedPage!O23)</f>
        <v/>
      </c>
      <c r="P23" s="170" t="str">
        <f>IF(linkedPage!P23=0,"",linkedPage!P23)</f>
        <v>[150k USD]</v>
      </c>
      <c r="Q23" s="171" t="str">
        <f>IF(linkedPage!Q23=0,"",linkedPage!Q23)</f>
        <v/>
      </c>
      <c r="R23" s="72"/>
      <c r="S23" s="72"/>
      <c r="T23" s="38"/>
      <c r="U23" s="38"/>
    </row>
    <row r="24" spans="1:23" ht="42.75" customHeight="1" x14ac:dyDescent="0.25">
      <c r="B24" s="53">
        <f>IF(linkedPage!B24=0,"",linkedPage!B24)</f>
        <v>7</v>
      </c>
      <c r="C24" s="174" t="str">
        <f>IF(linkedPage!C24=0,"",linkedPage!C24)</f>
        <v>Rarely expected to occur</v>
      </c>
      <c r="D24" s="175" t="str">
        <f>IF(linkedPage!D24=0,"",linkedPage!D24)</f>
        <v/>
      </c>
      <c r="E24" s="79">
        <f>IF(linkedPage!E24=0,"",linkedPage!E24)</f>
        <v>0.01</v>
      </c>
      <c r="F24" s="87">
        <f>IF(linkedPage!F24=0,"",linkedPage!F24)</f>
        <v>100</v>
      </c>
      <c r="G24" s="52"/>
      <c r="H24" s="53">
        <f>IF(linkedPage!H24=0,"",linkedPage!H24)</f>
        <v>7</v>
      </c>
      <c r="I24" s="68" t="str">
        <f>IF(linkedPage!I24=0,"",linkedPage!I24)</f>
        <v>Critical</v>
      </c>
      <c r="J24" s="170" t="str">
        <f>IF(linkedPage!J24=0,"",linkedPage!J24)</f>
        <v>Hospitalization (with full recovery)</v>
      </c>
      <c r="K24" s="165" t="str">
        <f>IF(linkedPage!K24=0,"",linkedPage!K24)</f>
        <v/>
      </c>
      <c r="L24" s="170" t="str">
        <f>IF(linkedPage!L24=0,"",linkedPage!L24)</f>
        <v>Moderate pollution (some clean-up costs) / Serious effect on environment</v>
      </c>
      <c r="M24" s="171" t="str">
        <f>IF(linkedPage!M24=0,"",linkedPage!M24)</f>
        <v/>
      </c>
      <c r="N24" s="164" t="str">
        <f>IF(linkedPage!N24=0,"",linkedPage!N24)</f>
        <v>Major system degradation or loss of operation for 3 months</v>
      </c>
      <c r="O24" s="165" t="str">
        <f>IF(linkedPage!O24=0,"",linkedPage!O24)</f>
        <v/>
      </c>
      <c r="P24" s="170" t="str">
        <f>IF(linkedPage!P24=0,"",linkedPage!P24)</f>
        <v>Dry dock required for repair
[500k USD]</v>
      </c>
      <c r="Q24" s="171" t="str">
        <f>IF(linkedPage!Q24=0,"",linkedPage!Q24)</f>
        <v/>
      </c>
      <c r="R24" s="72"/>
      <c r="S24" s="72"/>
      <c r="T24" s="38"/>
      <c r="U24" s="38"/>
    </row>
    <row r="25" spans="1:23" ht="42.75" customHeight="1" x14ac:dyDescent="0.25">
      <c r="B25" s="53">
        <f>IF(linkedPage!B25=0,"",linkedPage!B25)</f>
        <v>8</v>
      </c>
      <c r="C25" s="174" t="str">
        <f>IF(linkedPage!C25=0,"",linkedPage!C25)</f>
        <v/>
      </c>
      <c r="D25" s="175" t="str">
        <f>IF(linkedPage!D25=0,"",linkedPage!D25)</f>
        <v/>
      </c>
      <c r="E25" s="79">
        <f>IF(linkedPage!E25=0,"",linkedPage!E25)</f>
        <v>3.1622776601683791E-2</v>
      </c>
      <c r="F25" s="87">
        <f>IF(linkedPage!F25=0,"",linkedPage!F25)</f>
        <v>31.6</v>
      </c>
      <c r="G25" s="52"/>
      <c r="H25" s="53">
        <f>IF(linkedPage!H25=0,"",linkedPage!H25)</f>
        <v>8</v>
      </c>
      <c r="I25" s="68" t="str">
        <f>IF(linkedPage!I25=0,"",linkedPage!I25)</f>
        <v/>
      </c>
      <c r="J25" s="170" t="str">
        <f>IF(linkedPage!J25=0,"",linkedPage!J25)</f>
        <v/>
      </c>
      <c r="K25" s="165" t="str">
        <f>IF(linkedPage!K25=0,"",linkedPage!K25)</f>
        <v/>
      </c>
      <c r="L25" s="170" t="str">
        <f>IF(linkedPage!L25=0,"",linkedPage!L25)</f>
        <v/>
      </c>
      <c r="M25" s="171" t="str">
        <f>IF(linkedPage!M25=0,"",linkedPage!M25)</f>
        <v/>
      </c>
      <c r="N25" s="164" t="str">
        <f>IF(linkedPage!N25=0,"",linkedPage!N25)</f>
        <v>Critical system degradation or loss of operation for 6 months</v>
      </c>
      <c r="O25" s="165" t="str">
        <f>IF(linkedPage!O25=0,"",linkedPage!O25)</f>
        <v/>
      </c>
      <c r="P25" s="170" t="str">
        <f>IF(linkedPage!P25=0,"",linkedPage!P25)</f>
        <v>[1.5M USD]</v>
      </c>
      <c r="Q25" s="171" t="str">
        <f>IF(linkedPage!Q25=0,"",linkedPage!Q25)</f>
        <v/>
      </c>
      <c r="R25" s="72"/>
      <c r="S25" s="72"/>
      <c r="T25" s="38"/>
      <c r="U25" s="38"/>
    </row>
    <row r="26" spans="1:23" ht="42.75" customHeight="1" x14ac:dyDescent="0.25">
      <c r="B26" s="53">
        <f>IF(linkedPage!B26=0,"",linkedPage!B26)</f>
        <v>9</v>
      </c>
      <c r="C26" s="174" t="str">
        <f>IF(linkedPage!C26=0,"",linkedPage!C26)</f>
        <v>One or more during 20 yr lifetime</v>
      </c>
      <c r="D26" s="175" t="str">
        <f>IF(linkedPage!D26=0,"",linkedPage!D26)</f>
        <v/>
      </c>
      <c r="E26" s="80">
        <f>IF(linkedPage!E26=0,"",linkedPage!E26)</f>
        <v>0.1</v>
      </c>
      <c r="F26" s="87">
        <f>IF(linkedPage!F26=0,"",linkedPage!F26)</f>
        <v>10</v>
      </c>
      <c r="G26" s="52"/>
      <c r="H26" s="53">
        <f>IF(linkedPage!H26=0,"",linkedPage!H26)</f>
        <v>9</v>
      </c>
      <c r="I26" s="68" t="str">
        <f>IF(linkedPage!I26=0,"",linkedPage!I26)</f>
        <v>Catastrophic</v>
      </c>
      <c r="J26" s="170" t="str">
        <f>IF(linkedPage!J26=0,"",linkedPage!J26)</f>
        <v>Hospitalization (with lasting disabilities)</v>
      </c>
      <c r="K26" s="165" t="str">
        <f>IF(linkedPage!K26=0,"",linkedPage!K26)</f>
        <v/>
      </c>
      <c r="L26" s="170" t="str">
        <f>IF(linkedPage!L26=0,"",linkedPage!L26)</f>
        <v>Major pollution (significant clean-up costs) / disastrous effects on the environment</v>
      </c>
      <c r="M26" s="171" t="str">
        <f>IF(linkedPage!M26=0,"",linkedPage!M26)</f>
        <v/>
      </c>
      <c r="N26" s="164" t="str">
        <f>IF(linkedPage!N26=0,"",linkedPage!N26)</f>
        <v>Failure to generate power for remainder of project, complete failure</v>
      </c>
      <c r="O26" s="165" t="str">
        <f>IF(linkedPage!O26=0,"",linkedPage!O26)</f>
        <v/>
      </c>
      <c r="P26" s="170" t="str">
        <f>IF(linkedPage!P26=0,"",linkedPage!P26)</f>
        <v>Loss of device
[5M USD]</v>
      </c>
      <c r="Q26" s="171" t="str">
        <f>IF(linkedPage!Q26=0,"",linkedPage!Q26)</f>
        <v/>
      </c>
      <c r="R26" s="73"/>
      <c r="S26" s="73"/>
      <c r="T26" s="38"/>
      <c r="U26" s="38"/>
    </row>
    <row r="27" spans="1:23" ht="42.75" customHeight="1" thickBot="1" x14ac:dyDescent="0.3">
      <c r="A27" s="38"/>
      <c r="B27" s="54">
        <f>IF(linkedPage!B27=0,"",linkedPage!B27)</f>
        <v>10</v>
      </c>
      <c r="C27" s="176" t="str">
        <f>IF(linkedPage!C27=0,"",linkedPage!C27)</f>
        <v/>
      </c>
      <c r="D27" s="177" t="str">
        <f>IF(linkedPage!D27=0,"",linkedPage!D27)</f>
        <v/>
      </c>
      <c r="E27" s="81">
        <f>IF(linkedPage!E27=0,"",linkedPage!E27)</f>
        <v>0.31622776601683794</v>
      </c>
      <c r="F27" s="88">
        <f>IF(linkedPage!F27=0,"",linkedPage!F27)</f>
        <v>3.16</v>
      </c>
      <c r="G27" s="52"/>
      <c r="H27" s="54">
        <f>IF(linkedPage!H27=0,"",linkedPage!H27)</f>
        <v>10</v>
      </c>
      <c r="I27" s="82" t="str">
        <f>IF(linkedPage!I27=0,"",linkedPage!I27)</f>
        <v/>
      </c>
      <c r="J27" s="178" t="str">
        <f>IF(linkedPage!J27=0,"",linkedPage!J27)</f>
        <v>A fatality</v>
      </c>
      <c r="K27" s="179" t="str">
        <f>IF(linkedPage!K27=0,"",linkedPage!K27)</f>
        <v/>
      </c>
      <c r="L27" s="172" t="str">
        <f>IF(linkedPage!L27=0,"",linkedPage!L27)</f>
        <v/>
      </c>
      <c r="M27" s="173" t="str">
        <f>IF(linkedPage!M27=0,"",linkedPage!M27)</f>
        <v/>
      </c>
      <c r="N27" s="166" t="str">
        <f>IF(linkedPage!N27=0,"",linkedPage!N27)</f>
        <v/>
      </c>
      <c r="O27" s="167" t="str">
        <f>IF(linkedPage!O27=0,"",linkedPage!O27)</f>
        <v/>
      </c>
      <c r="P27" s="172" t="str">
        <f>IF(linkedPage!P27=0,"",linkedPage!P27)</f>
        <v/>
      </c>
      <c r="Q27" s="173" t="str">
        <f>IF(linkedPage!Q27=0,"",linkedPage!Q27)</f>
        <v/>
      </c>
      <c r="R27" s="73"/>
      <c r="S27" s="73"/>
    </row>
    <row r="28" spans="1:23" x14ac:dyDescent="0.25">
      <c r="R28" s="70"/>
      <c r="S28" s="70"/>
      <c r="T28" s="38"/>
      <c r="U28" s="38"/>
      <c r="V28" s="38"/>
      <c r="W28" s="38"/>
    </row>
    <row r="29" spans="1:23" ht="15" customHeight="1" x14ac:dyDescent="0.25">
      <c r="S29" s="38"/>
      <c r="T29" s="38"/>
      <c r="U29" s="38"/>
      <c r="V29" s="38"/>
      <c r="W29" s="38"/>
    </row>
    <row r="43" spans="2:26" x14ac:dyDescent="0.25">
      <c r="O43"/>
      <c r="X43" s="38"/>
      <c r="Z43" s="38"/>
    </row>
    <row r="44" spans="2:26" ht="15" customHeight="1" x14ac:dyDescent="0.25"/>
    <row r="45" spans="2:26" ht="15.75" x14ac:dyDescent="0.25">
      <c r="C45" s="66"/>
      <c r="D45" s="66"/>
      <c r="E45" s="66"/>
      <c r="F45" s="66"/>
      <c r="G45" s="66"/>
      <c r="H45" s="66"/>
      <c r="I45" s="66"/>
      <c r="J45" s="66"/>
      <c r="K45" s="66"/>
      <c r="L45" s="66"/>
    </row>
    <row r="46" spans="2:26" ht="16.5" x14ac:dyDescent="0.35">
      <c r="C46" s="65"/>
      <c r="D46" s="65"/>
      <c r="E46" s="65"/>
      <c r="F46" s="65"/>
      <c r="G46" s="65"/>
      <c r="H46" s="65"/>
      <c r="I46" s="65"/>
      <c r="J46" s="65"/>
      <c r="K46" s="65"/>
      <c r="L46" s="65"/>
      <c r="M46" s="51"/>
      <c r="N46" s="51"/>
    </row>
    <row r="47" spans="2:26" ht="16.5" x14ac:dyDescent="0.35">
      <c r="B47" s="57"/>
      <c r="C47" s="57"/>
      <c r="D47" s="57"/>
      <c r="E47" s="57"/>
      <c r="F47" s="57"/>
      <c r="G47" s="57"/>
      <c r="H47" s="57"/>
      <c r="I47" s="57"/>
      <c r="J47" s="57"/>
      <c r="K47" s="57"/>
      <c r="L47" s="57"/>
      <c r="M47" s="51"/>
      <c r="N47" s="51"/>
    </row>
    <row r="48" spans="2:26" ht="16.5" x14ac:dyDescent="0.35">
      <c r="B48" s="57"/>
      <c r="E48" s="38"/>
      <c r="F48" s="38"/>
      <c r="G48" s="38"/>
      <c r="H48" s="38"/>
      <c r="I48" s="38"/>
      <c r="J48" s="38"/>
      <c r="L48" s="38"/>
      <c r="M48" s="51"/>
      <c r="N48" s="51"/>
    </row>
    <row r="49" spans="2:14" ht="16.5" x14ac:dyDescent="0.35">
      <c r="B49" s="57"/>
      <c r="C49" s="38"/>
      <c r="E49" s="38"/>
      <c r="F49" s="38"/>
      <c r="G49" s="38"/>
      <c r="H49" s="38"/>
      <c r="I49" s="38"/>
      <c r="J49" s="38"/>
      <c r="L49" s="38"/>
      <c r="M49" s="61"/>
      <c r="N49" s="62"/>
    </row>
    <row r="50" spans="2:14" ht="16.5" x14ac:dyDescent="0.35">
      <c r="B50" s="57"/>
      <c r="C50" s="38"/>
      <c r="E50" s="38"/>
      <c r="F50" s="38"/>
      <c r="G50" s="38"/>
      <c r="H50" s="38"/>
      <c r="I50" s="38"/>
      <c r="J50" s="38"/>
      <c r="L50" s="38"/>
      <c r="M50" s="61"/>
      <c r="N50" s="62"/>
    </row>
    <row r="51" spans="2:14" x14ac:dyDescent="0.25">
      <c r="B51" s="57"/>
      <c r="C51" s="38"/>
      <c r="E51" s="38"/>
      <c r="F51" s="38"/>
      <c r="G51" s="38"/>
      <c r="H51" s="38"/>
      <c r="I51" s="38"/>
      <c r="J51" s="38"/>
      <c r="L51" s="38"/>
    </row>
    <row r="52" spans="2:14" x14ac:dyDescent="0.25">
      <c r="B52" s="57"/>
      <c r="C52" s="38"/>
      <c r="E52" s="38"/>
      <c r="F52" s="38"/>
      <c r="G52" s="38"/>
      <c r="H52" s="38"/>
      <c r="I52" s="38"/>
      <c r="J52" s="38"/>
      <c r="L52" s="38"/>
    </row>
    <row r="53" spans="2:14" x14ac:dyDescent="0.25">
      <c r="B53" s="57"/>
      <c r="C53" s="38"/>
      <c r="E53" s="38"/>
      <c r="F53" s="38"/>
      <c r="G53" s="38"/>
      <c r="H53" s="38"/>
      <c r="I53" s="38"/>
      <c r="J53" s="38"/>
      <c r="L53" s="38"/>
    </row>
    <row r="54" spans="2:14" x14ac:dyDescent="0.25">
      <c r="B54" s="57"/>
      <c r="C54" s="38"/>
      <c r="E54" s="38"/>
      <c r="F54" s="38"/>
      <c r="G54" s="38"/>
      <c r="H54" s="38"/>
      <c r="I54" s="38"/>
      <c r="J54" s="38"/>
      <c r="L54" s="38"/>
    </row>
    <row r="55" spans="2:14" x14ac:dyDescent="0.25">
      <c r="B55" s="57"/>
      <c r="C55" s="38"/>
      <c r="E55" s="38"/>
      <c r="F55" s="38"/>
      <c r="G55" s="38"/>
      <c r="H55" s="38"/>
      <c r="I55" s="38"/>
      <c r="J55" s="38"/>
      <c r="L55" s="38"/>
    </row>
    <row r="56" spans="2:14" x14ac:dyDescent="0.25">
      <c r="B56" s="57"/>
      <c r="C56" s="38"/>
      <c r="E56" s="38"/>
      <c r="F56" s="38"/>
      <c r="G56" s="38"/>
      <c r="H56" s="38"/>
      <c r="I56" s="38"/>
      <c r="J56" s="38"/>
      <c r="L56" s="38"/>
    </row>
    <row r="57" spans="2:14" x14ac:dyDescent="0.25">
      <c r="B57" s="57"/>
      <c r="C57" s="38"/>
      <c r="E57" s="38"/>
      <c r="F57" s="38"/>
      <c r="G57" s="38"/>
      <c r="H57" s="38"/>
      <c r="I57" s="38"/>
      <c r="J57" s="38"/>
      <c r="L57" s="38"/>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38" t="s">
        <v>37</v>
      </c>
    </row>
    <row r="3" spans="1:20" x14ac:dyDescent="0.25">
      <c r="A3">
        <v>0</v>
      </c>
      <c r="B3">
        <v>0</v>
      </c>
      <c r="C3" t="str">
        <v>Severity</v>
      </c>
      <c r="D3">
        <v>0</v>
      </c>
      <c r="E3">
        <v>0</v>
      </c>
      <c r="F3">
        <v>0</v>
      </c>
      <c r="G3">
        <v>0</v>
      </c>
      <c r="H3">
        <v>0</v>
      </c>
      <c r="I3">
        <v>0</v>
      </c>
      <c r="J3">
        <v>0</v>
      </c>
      <c r="K3">
        <v>0</v>
      </c>
      <c r="L3">
        <v>0</v>
      </c>
      <c r="M3">
        <v>0</v>
      </c>
      <c r="N3">
        <v>0</v>
      </c>
      <c r="O3">
        <v>0</v>
      </c>
      <c r="P3">
        <v>0</v>
      </c>
      <c r="Q3">
        <v>0</v>
      </c>
      <c r="T3" s="97" t="s">
        <v>344</v>
      </c>
    </row>
    <row r="4" spans="1:20" x14ac:dyDescent="0.25">
      <c r="A4">
        <v>0</v>
      </c>
      <c r="B4" t="str">
        <v>Occ</v>
      </c>
      <c r="C4">
        <v>1</v>
      </c>
      <c r="D4">
        <v>2</v>
      </c>
      <c r="E4">
        <v>3</v>
      </c>
      <c r="F4">
        <v>4</v>
      </c>
      <c r="G4">
        <v>5</v>
      </c>
      <c r="H4">
        <v>6</v>
      </c>
      <c r="I4">
        <v>7</v>
      </c>
      <c r="J4">
        <v>8</v>
      </c>
      <c r="K4">
        <v>9</v>
      </c>
      <c r="L4">
        <v>10</v>
      </c>
      <c r="M4">
        <v>0</v>
      </c>
      <c r="N4">
        <v>0</v>
      </c>
      <c r="O4">
        <v>0</v>
      </c>
      <c r="P4">
        <v>0</v>
      </c>
      <c r="Q4">
        <v>0</v>
      </c>
      <c r="T4" s="97" t="s">
        <v>345</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89">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89">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89">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8" t="str">
        <v>Repairable in-situ, at next maintenance interval 
[5k USD]</v>
      </c>
      <c r="Q20">
        <v>0</v>
      </c>
    </row>
    <row r="21" spans="1:17" ht="150" x14ac:dyDescent="0.25">
      <c r="A21">
        <v>0</v>
      </c>
      <c r="B21">
        <v>4</v>
      </c>
      <c r="C21">
        <v>0</v>
      </c>
      <c r="D21">
        <v>0</v>
      </c>
      <c r="E21">
        <v>3.1622776601683789E-4</v>
      </c>
      <c r="F21" s="89">
        <v>3160</v>
      </c>
      <c r="G21">
        <v>0</v>
      </c>
      <c r="H21">
        <v>4</v>
      </c>
      <c r="I21">
        <v>0</v>
      </c>
      <c r="J21" t="str">
        <v>Moderate injuries and/or health effects (e.g. broken bone)</v>
      </c>
      <c r="K21">
        <v>0</v>
      </c>
      <c r="L21">
        <v>0</v>
      </c>
      <c r="M21">
        <v>0</v>
      </c>
      <c r="N21" t="str">
        <v>Moderate system degradation (e.g. loss of MoMo)</v>
      </c>
      <c r="O21">
        <v>0</v>
      </c>
      <c r="P21" s="18" t="str">
        <v>Repairable in-situ, outside maintenance interval 
(1 day) [15k USD]</v>
      </c>
      <c r="Q21">
        <v>0</v>
      </c>
    </row>
    <row r="22" spans="1:17" ht="150" x14ac:dyDescent="0.25">
      <c r="A22">
        <v>0</v>
      </c>
      <c r="B22">
        <v>5</v>
      </c>
      <c r="C22" t="str">
        <v>Very unlikely to occur</v>
      </c>
      <c r="D22">
        <v>0</v>
      </c>
      <c r="E22">
        <v>1E-3</v>
      </c>
      <c r="F22" s="89">
        <v>1000</v>
      </c>
      <c r="G22">
        <v>0</v>
      </c>
      <c r="H22">
        <v>5</v>
      </c>
      <c r="I22" t="str">
        <v>Major</v>
      </c>
      <c r="J22">
        <v>0</v>
      </c>
      <c r="K22">
        <v>0</v>
      </c>
      <c r="L22" t="str">
        <v>Limited levels of pollution, manageable / moderate effect on environment</v>
      </c>
      <c r="M22">
        <v>0</v>
      </c>
      <c r="N22">
        <v>0</v>
      </c>
      <c r="O22">
        <v>0</v>
      </c>
      <c r="P22" s="18"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8"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8"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0400 SCADA</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2014-10-06T23:16:24Z</cp:lastPrinted>
  <dcterms:created xsi:type="dcterms:W3CDTF">2013-05-20T22:14:35Z</dcterms:created>
  <dcterms:modified xsi:type="dcterms:W3CDTF">2017-03-03T17:44:58Z</dcterms:modified>
</cp:coreProperties>
</file>